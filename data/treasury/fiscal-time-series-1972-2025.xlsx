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06F28E32-799E-4645-A2F3-B656F92F909A}" xr6:coauthVersionLast="47" xr6:coauthVersionMax="47" xr10:uidLastSave="{00000000-0000-0000-0000-000000000000}"/>
  <bookViews>
    <workbookView xWindow="28680" yWindow="-120" windowWidth="29040" windowHeight="15225" tabRatio="791" xr2:uid="{00000000-000D-0000-FFFF-FFFF00000000}"/>
  </bookViews>
  <sheets>
    <sheet name="Summary" sheetId="14" r:id="rId1"/>
    <sheet name="Series Descriptions" sheetId="13" r:id="rId2"/>
    <sheet name="Sources" sheetId="18" r:id="rId3"/>
    <sheet name="Spending" sheetId="15" r:id="rId4"/>
    <sheet name="Revenue, Surplus measures" sheetId="9" r:id="rId5"/>
    <sheet name="Debt, Net Worth" sheetId="7" r:id="rId6"/>
    <sheet name="NZS Fund series" sheetId="11" r:id="rId7"/>
    <sheet name="Nominal GDP" sheetId="12" r:id="rId8"/>
  </sheets>
  <definedNames>
    <definedName name="\p" localSheetId="6">#REF!</definedName>
    <definedName name="\p" localSheetId="4">#REF!</definedName>
    <definedName name="\p" localSheetId="3">#REF!</definedName>
    <definedName name="\p">#REF!</definedName>
    <definedName name="_010SpotSales">#REF!</definedName>
    <definedName name="_011OffMktSales">#REF!</definedName>
    <definedName name="_012EnergySalesComalco">#REF!</definedName>
    <definedName name="_013Direct_Supply">#REF!</definedName>
    <definedName name="_015_Energy_Sales_ECNZ_Hedges">#REF!</definedName>
    <definedName name="_017_EnergyTransmissionRev_TP">#REF!</definedName>
    <definedName name="_019Discounts">#REF!</definedName>
    <definedName name="_01GEnergy_Sales_ECNZ_Buy_Hedges">#REF!</definedName>
    <definedName name="_01H_EnergySales_Other_Hedges">#REF!</definedName>
    <definedName name="_01I_EnergySales_InternalHedge">#REF!</definedName>
    <definedName name="_01R_EnergySales_ExistingRetail">#REF!</definedName>
    <definedName name="_01T_EnergySales_TransaltaLease">#REF!</definedName>
    <definedName name="_020_EnergyFuturesTrading">#REF!</definedName>
    <definedName name="_051_Lease_RentalIncome">#REF!</definedName>
    <definedName name="_052_DividendsIncome">#REF!</definedName>
    <definedName name="_053_GainonForeignCurrency">#REF!</definedName>
    <definedName name="_054_GainonSaleofFixedAssets">#REF!</definedName>
    <definedName name="_055_MiscellaneousIncome">#REF!</definedName>
    <definedName name="_070_Steam_HotWaterRevenues">#REF!</definedName>
    <definedName name="_112_NZEMCosts_ServiceProvider">#REF!</definedName>
    <definedName name="_113_MACSCosts">#REF!</definedName>
    <definedName name="_115_Connection_OtherCharges">#REF!</definedName>
    <definedName name="_118EnergyCostComalco">#REF!</definedName>
    <definedName name="_119Energy_Cost_Direct_Supply">#REF!</definedName>
    <definedName name="_11A_MeterReading_TOU">#REF!</definedName>
    <definedName name="_11B_MeterLeasing">#REF!</definedName>
    <definedName name="_11C_MeterManagement">#REF!</definedName>
    <definedName name="_11D_RocMeterReading">#REF!</definedName>
    <definedName name="_11MComalcoTransmissionRevenue">#REF!</definedName>
    <definedName name="_11N_TiwaiPointTransCharge">#REF!</definedName>
    <definedName name="_11P_LineRevenue">#REF!</definedName>
    <definedName name="_11QLineCharges">#REF!</definedName>
    <definedName name="_120_MARIACosts">#REF!</definedName>
    <definedName name="_121AC_ConnectionCharges">#REF!</definedName>
    <definedName name="_122HVDC_Charges">#REF!</definedName>
    <definedName name="_123_InvoiceProcessing">#REF!</definedName>
    <definedName name="_124_RemittanceProcessing">#REF!</definedName>
    <definedName name="_125_DataAdministration">#REF!</definedName>
    <definedName name="_126_ROCAdministrativeStaff">#REF!</definedName>
    <definedName name="_127_ROCCallCentreStaff">#REF!</definedName>
    <definedName name="_190_GridExitPoints">#REF!</definedName>
    <definedName name="_191_FieldServicescosts">#REF!</definedName>
    <definedName name="_192_PulseCosts">#REF!</definedName>
    <definedName name="_1HOLOS_ORIENT_P_L_ACT_DL">#REF!</definedName>
    <definedName name="_211_Salary_Pay">#REF!</definedName>
    <definedName name="_212_Bonus">#REF!</definedName>
    <definedName name="_213_TempEmployeesWages">#REF!</definedName>
    <definedName name="_214_CapitalisedSalary">#REF!</definedName>
    <definedName name="_221_AccidentInsurance">#REF!</definedName>
    <definedName name="_223_FringeBenefitTax">#REF!</definedName>
    <definedName name="_224_MembershipFees_Staff">#REF!</definedName>
    <definedName name="_225_Severance">#REF!</definedName>
    <definedName name="_231_RecruitmentCosts">#REF!</definedName>
    <definedName name="_241_Training_Conferencecosts">#REF!</definedName>
    <definedName name="_242_Training_TRAVEL_ACCOMMcosts">#REF!</definedName>
    <definedName name="_251_HumanResourcePrograms">#REF!</definedName>
    <definedName name="_252_SpecialRewardsProgramme">#REF!</definedName>
    <definedName name="_2HOLOS_P_L_ACT_DL">#REF!</definedName>
    <definedName name="_311_Plant_equipcosts">#REF!</definedName>
    <definedName name="_312_VehicleLeases">#REF!</definedName>
    <definedName name="_313_VehiclerunningcostsFUEL">#REF!</definedName>
    <definedName name="_314_VehiclecostsMTCE_OTHER">#REF!</definedName>
    <definedName name="_331_Land_BuildingsCostsRENT">#REF!</definedName>
    <definedName name="_332_Land_BuildingsCostsMTCE">#REF!</definedName>
    <definedName name="_333_Land_BuildingsOperatingCosts">#REF!</definedName>
    <definedName name="_334_Rates">#REF!</definedName>
    <definedName name="_350_Contractor_Consultant_Travel">#REF!</definedName>
    <definedName name="_351_Contractor_ConsultantGeneral">#REF!</definedName>
    <definedName name="_352_FinanceOutsourcing">#REF!</definedName>
    <definedName name="_353_TreasuryAdvisory">#REF!</definedName>
    <definedName name="_354_TreasuryTransactions">#REF!</definedName>
    <definedName name="_355_TaxAdvisory">#REF!</definedName>
    <definedName name="_356_LegalAdvice">#REF!</definedName>
    <definedName name="_357_BusinessAdvisoryServices">#REF!</definedName>
    <definedName name="_358_InformationServiceProviders">#REF!</definedName>
    <definedName name="_359_RiskManagement">#REF!</definedName>
    <definedName name="_360_InternalAudit">#REF!</definedName>
    <definedName name="_361_ExternalAudit">#REF!</definedName>
    <definedName name="_362_ITOutsourcing">#REF!</definedName>
    <definedName name="_363_CommsOutsourcing">#REF!</definedName>
    <definedName name="_364_CommsRemedial">#REF!</definedName>
    <definedName name="_365_GCSSupport">#REF!</definedName>
    <definedName name="_366_TranspowerCircuits_TPIX">#REF!</definedName>
    <definedName name="_367_Comms_OtherServiceProviders">#REF!</definedName>
    <definedName name="_368_ITOutsourcing_Reactive">#REF!</definedName>
    <definedName name="_369Cons.ReimbursableExps_DWTCH">#REF!</definedName>
    <definedName name="_36B_Contingency_CEO">#REF!</definedName>
    <definedName name="_371_InventoryAdjustments_all">#REF!</definedName>
    <definedName name="_380_Regulatory_Compliance">#REF!</definedName>
    <definedName name="_391___Materials">#REF!</definedName>
    <definedName name="_391_Materials">#REF!</definedName>
    <definedName name="_411_ITCosts_General">#REF!</definedName>
    <definedName name="_413_CellPhoneCosts">#REF!</definedName>
    <definedName name="_414_PhoneandFax">#REF!</definedName>
    <definedName name="_415_DataComms">#REF!</definedName>
    <definedName name="_416_DataComms_other">#REF!</definedName>
    <definedName name="_418_DataCommsSpecialised_CLOSED">#REF!</definedName>
    <definedName name="_41A_SoftwareLicences_Maint.">#REF!</definedName>
    <definedName name="_41J_HardwareMaintenance">#REF!</definedName>
    <definedName name="_41N_TrunkedMobileRadioCosts">#REF!</definedName>
    <definedName name="_41O_MinofComm_LicenceCosts">#REF!</definedName>
    <definedName name="_41P_SatellitePhoneAccount">#REF!</definedName>
    <definedName name="_421_Sponsorships">#REF!</definedName>
    <definedName name="_422_MarketResearchCustomerSatisfaction">#REF!</definedName>
    <definedName name="_423_MarketResearchBrandRecognition">#REF!</definedName>
    <definedName name="_42A_WebSite">#REF!</definedName>
    <definedName name="_42B_Branding_BrandDevelopment">#REF!</definedName>
    <definedName name="_42C_CompetitorIntelligence">#REF!</definedName>
    <definedName name="_42D_Events">#REF!</definedName>
    <definedName name="_42E_ProductDemonstrations">#REF!</definedName>
    <definedName name="_42F_CampaignCollateral">#REF!</definedName>
    <definedName name="_42G_DirectSales">#REF!</definedName>
    <definedName name="_42H_Telemarketing">#REF!</definedName>
    <definedName name="_42J_MarketResearch">#REF!</definedName>
    <definedName name="_42K_PublicRelations">#REF!</definedName>
    <definedName name="_42L_DirectMail">#REF!</definedName>
    <definedName name="_42M_Publications">#REF!</definedName>
    <definedName name="_42N_DatabaseMarketing">#REF!</definedName>
    <definedName name="_42P_OfferTesting">#REF!</definedName>
    <definedName name="_42Q_CreativeDevelopment_Concepts">#REF!</definedName>
    <definedName name="_42R_Advertising_Media">#REF!</definedName>
    <definedName name="_42T_OfferIncentives_Premiums">#REF!</definedName>
    <definedName name="_42U_Commissions">#REF!</definedName>
    <definedName name="_42V_Retention">#REF!</definedName>
    <definedName name="_42W_PricingAnalysis">#REF!</definedName>
    <definedName name="_42X_BillMarketing_Messaging">#REF!</definedName>
    <definedName name="_42Y_CampaignPrinting">#REF!</definedName>
    <definedName name="_42Z_CampaignPostage">#REF!</definedName>
    <definedName name="_431___Office_Expenses_STATIONERY">#REF!</definedName>
    <definedName name="_432___Office_Expenses___PRINTING">#REF!</definedName>
    <definedName name="_433___Office_Expenses___PHOTOCOPYING">#REF!</definedName>
    <definedName name="_434___Office_Expenses___CONSUMABLES">#REF!</definedName>
    <definedName name="_435___Postage___Couriers">#REF!</definedName>
    <definedName name="_437___Business_Expenses___STAFF">#REF!</definedName>
    <definedName name="_438___Bus_Exp___External_Entertainmt">#REF!</definedName>
    <definedName name="_43A___Bus_Exp___Kitchen_Supplies">#REF!</definedName>
    <definedName name="_43B___Bus_Exp_Entertainment_Supplies">#REF!</definedName>
    <definedName name="_43C___Bus_Exp___Facilities_Hire">#REF!</definedName>
    <definedName name="_441___Internal_Communications">#REF!</definedName>
    <definedName name="_450___Overseas_Travel___Accom">#REF!</definedName>
    <definedName name="_451___Airfares">#REF!</definedName>
    <definedName name="_452___Travel_Accom">#REF!</definedName>
    <definedName name="_453_Reimb_Travel_Acom_DMM___CLOSED">#REF!</definedName>
    <definedName name="_464___Directors__Fees">#REF!</definedName>
    <definedName name="_465___Directors__Expenses">#REF!</definedName>
    <definedName name="_471___Insurance">#REF!</definedName>
    <definedName name="_472___Compensation_and_Damages">#REF!</definedName>
    <definedName name="_475___Resource_Consents">#REF!</definedName>
    <definedName name="_481___Grants_and_Subsidies">#REF!</definedName>
    <definedName name="_482___Membership_Fees____Company">#REF!</definedName>
    <definedName name="_483___Stat_and_Regulatory_Charges">#REF!</definedName>
    <definedName name="_511___Bank_Fees">#REF!</definedName>
    <definedName name="_512___Loan_Interest_Expense">#REF!</definedName>
    <definedName name="_513___Bond_Revaluation_Amort.">#REF!</definedName>
    <definedName name="_516_InterestReceived">#REF!</definedName>
    <definedName name="_517___Interest_Capitalised">#REF!</definedName>
    <definedName name="_519___Overdraft_Facility_Fee">#REF!</definedName>
    <definedName name="_520___Goodwill_Amortisation">#REF!</definedName>
    <definedName name="_611___Fixed_Asset_Adjustments">#REF!</definedName>
    <definedName name="_612___Bad_Debt_Adjustments">#REF!</definedName>
    <definedName name="_613_Doubtful_Debt_Adjustments">#REF!</definedName>
    <definedName name="_622___Depreciation">#REF!</definedName>
    <definedName name="_631___Loss_on_Sale_of_Stock">#REF!</definedName>
    <definedName name="_632___Loss_on_Sale_of_Fixed_Assets">#REF!</definedName>
    <definedName name="_633___Loss_on_Sale_of_Investments">#REF!</definedName>
    <definedName name="_Regression_Int" hidden="1">1</definedName>
    <definedName name="_SFV1">#REF!</definedName>
    <definedName name="_SFV2">#REF!</definedName>
    <definedName name="a" localSheetId="6">Module1.NvsPriorMacro</definedName>
    <definedName name="a" localSheetId="4">Module1.NvsPriorMacro</definedName>
    <definedName name="a" localSheetId="2">Module1.NvsPriorMacro</definedName>
    <definedName name="a" localSheetId="3">Module1.NvsPriorMacro</definedName>
    <definedName name="a">Module1.NvsPriorMacro</definedName>
    <definedName name="aa" localSheetId="6">Module1.NvsPriorMacro</definedName>
    <definedName name="aa" localSheetId="4">Module1.NvsPriorMacro</definedName>
    <definedName name="aa" localSheetId="2">Module1.NvsPriorMacro</definedName>
    <definedName name="aa" localSheetId="3">Module1.NvsPriorMacro</definedName>
    <definedName name="aa">Module1.NvsPriorMacro</definedName>
    <definedName name="AccDepn1">#REF!</definedName>
    <definedName name="AccDepn2">#REF!</definedName>
    <definedName name="AccDepn3">#REF!</definedName>
    <definedName name="AccDepn4">#REF!</definedName>
    <definedName name="AccDepn5">#REF!</definedName>
    <definedName name="ACCOM" localSheetId="6">#REF!</definedName>
    <definedName name="ACCOM" localSheetId="4">#REF!</definedName>
    <definedName name="ACCOM" localSheetId="3">#REF!</definedName>
    <definedName name="ACCOM">#REF!</definedName>
    <definedName name="actdata">#REF!</definedName>
    <definedName name="ADJUSTED_CASH_FLOW">#REF!</definedName>
    <definedName name="ASD">#REF!</definedName>
    <definedName name="Assetct">#REF!</definedName>
    <definedName name="Assetsin1">#REF!</definedName>
    <definedName name="Assetsin10">#REF!</definedName>
    <definedName name="Assetsin11">#REF!</definedName>
    <definedName name="Assetsin12">#REF!</definedName>
    <definedName name="Assetsin13">#REF!</definedName>
    <definedName name="Assetsin14">#REF!</definedName>
    <definedName name="Assetsin15">#REF!</definedName>
    <definedName name="Assetsin2">#REF!</definedName>
    <definedName name="Assetsin3">#REF!</definedName>
    <definedName name="Assetsin4">#REF!</definedName>
    <definedName name="Assetsin5">#REF!</definedName>
    <definedName name="Assetsin6">#REF!</definedName>
    <definedName name="Assetsin7">#REF!</definedName>
    <definedName name="Assetsin8">#REF!</definedName>
    <definedName name="Assetsin9">#REF!</definedName>
    <definedName name="ASSOC_TITLE">#REF!</definedName>
    <definedName name="ASSOCIATE" localSheetId="6">#REF!</definedName>
    <definedName name="ASSOCIATE" localSheetId="4">#REF!</definedName>
    <definedName name="ASSOCIATE" localSheetId="3">#REF!</definedName>
    <definedName name="ASSOCIATE">#REF!</definedName>
    <definedName name="ASSOCIATES">#REF!</definedName>
    <definedName name="AveEBITDA">#REF!</definedName>
    <definedName name="AveIntexp">#REF!</definedName>
    <definedName name="BAL_SHEET">#REF!</definedName>
    <definedName name="BALSHEET" localSheetId="6">#REF!</definedName>
    <definedName name="BALSHEET" localSheetId="4">#REF!</definedName>
    <definedName name="BALSHEET" localSheetId="3">#REF!</definedName>
    <definedName name="BALSHEET">#REF!</definedName>
    <definedName name="BBCoefficient">#REF!</definedName>
    <definedName name="BBIntercept">#REF!</definedName>
    <definedName name="BillAAAspread">#REF!</definedName>
    <definedName name="BillAAspread">#REF!</definedName>
    <definedName name="BillAspread">#REF!</definedName>
    <definedName name="BillBBBspread">#REF!</definedName>
    <definedName name="BillBBspread">#REF!</definedName>
    <definedName name="BillBspread">#REF!</definedName>
    <definedName name="BillCCCspread">#REF!</definedName>
    <definedName name="billrate">#REF!</definedName>
    <definedName name="billvol">#REF!</definedName>
    <definedName name="BondAAAspread">#REF!</definedName>
    <definedName name="BondAAspread">#REF!</definedName>
    <definedName name="BondAspread">#REF!</definedName>
    <definedName name="BondBBBspread">#REF!</definedName>
    <definedName name="BondBBspread">#REF!</definedName>
    <definedName name="BondBspread">#REF!</definedName>
    <definedName name="BondCCCspread">#REF!</definedName>
    <definedName name="BondDrwn">#REF!</definedName>
    <definedName name="BondRate">#REF!</definedName>
    <definedName name="borrowings">#REF!</definedName>
    <definedName name="broke">#REF!</definedName>
    <definedName name="bud_2001">#REF!</definedName>
    <definedName name="bud_2002">#REF!</definedName>
    <definedName name="bud_crmth">#REF!</definedName>
    <definedName name="buddata">#REF!</definedName>
    <definedName name="Business_Overheads">#REF!</definedName>
    <definedName name="Business_Support_Services">#REF!</definedName>
    <definedName name="BUSINESS_UNIT" localSheetId="6">#REF!</definedName>
    <definedName name="BUSINESS_UNIT" localSheetId="4">#REF!</definedName>
    <definedName name="BUSINESS_UNIT" localSheetId="3">#REF!</definedName>
    <definedName name="BUSINESS_UNIT">#REF!</definedName>
    <definedName name="BUV" localSheetId="6">#REF!</definedName>
    <definedName name="BUV" localSheetId="4">#REF!</definedName>
    <definedName name="BUV" localSheetId="3">#REF!</definedName>
    <definedName name="BUV">#REF!</definedName>
    <definedName name="CapAmt">#REF!</definedName>
    <definedName name="Capital_Projects__Net_of_GST">#REF!</definedName>
    <definedName name="Capital_Repayments">#REF!</definedName>
    <definedName name="CapMTM">#REF!</definedName>
    <definedName name="CapRate">#REF!</definedName>
    <definedName name="cas">#REF!</definedName>
    <definedName name="CASH_FLOW_EFFECT">#REF!</definedName>
    <definedName name="CASHBANK" localSheetId="6">#REF!</definedName>
    <definedName name="CASHBANK" localSheetId="4">#REF!</definedName>
    <definedName name="CASHBANK" localSheetId="3">#REF!</definedName>
    <definedName name="CASHBANK">#REF!</definedName>
    <definedName name="CashDrwn">#REF!</definedName>
    <definedName name="CASHFLOW">#REF!</definedName>
    <definedName name="CashRate">#REF!</definedName>
    <definedName name="Cashtaxct">#REF!</definedName>
    <definedName name="Cashtaxin1">#REF!</definedName>
    <definedName name="Cashtaxin10">#REF!</definedName>
    <definedName name="Cashtaxin11">#REF!</definedName>
    <definedName name="Cashtaxin12">#REF!</definedName>
    <definedName name="Cashtaxin13">#REF!</definedName>
    <definedName name="Cashtaxin14">#REF!</definedName>
    <definedName name="Cashtaxin15">#REF!</definedName>
    <definedName name="Cashtaxin2">#REF!</definedName>
    <definedName name="Cashtaxin3">#REF!</definedName>
    <definedName name="Cashtaxin4">#REF!</definedName>
    <definedName name="Cashtaxin5">#REF!</definedName>
    <definedName name="Cashtaxin6">#REF!</definedName>
    <definedName name="Cashtaxin7">#REF!</definedName>
    <definedName name="Cashtaxin8">#REF!</definedName>
    <definedName name="Cashtaxin9">#REF!</definedName>
    <definedName name="Cheque_Run__One_off_Payments">#REF!</definedName>
    <definedName name="COGS" localSheetId="6">#REF!</definedName>
    <definedName name="COGS" localSheetId="4">#REF!</definedName>
    <definedName name="COGS" localSheetId="3">#REF!</definedName>
    <definedName name="COGS">#REF!</definedName>
    <definedName name="CollarAmt">#REF!</definedName>
    <definedName name="CollarMTM">#REF!</definedName>
    <definedName name="CollarRate">#REF!</definedName>
    <definedName name="Comalco">#REF!</definedName>
    <definedName name="Communications">#REF!</definedName>
    <definedName name="COMP_OFFICE" localSheetId="6">#REF!</definedName>
    <definedName name="COMP_OFFICE" localSheetId="4">#REF!</definedName>
    <definedName name="COMP_OFFICE" localSheetId="3">#REF!</definedName>
    <definedName name="COMP_OFFICE">#REF!</definedName>
    <definedName name="ComPaperDrwn">#REF!</definedName>
    <definedName name="ComPaperRate">#REF!</definedName>
    <definedName name="CONSOLIDATION_NZ_POST_LTD___NZPPL___SUBSIDIARIES_30_APRIL_1995">#REF!</definedName>
    <definedName name="Copyrange1">#REF!</definedName>
    <definedName name="Copyrange10">#REF!</definedName>
    <definedName name="Copyrange11">#REF!</definedName>
    <definedName name="Copyrange12">#REF!</definedName>
    <definedName name="Copyrange13">#REF!</definedName>
    <definedName name="Copyrange14">#REF!</definedName>
    <definedName name="Copyrange15">#REF!</definedName>
    <definedName name="Copyrange16">#REF!</definedName>
    <definedName name="Copyrange17">#REF!</definedName>
    <definedName name="Copyrange18">#REF!</definedName>
    <definedName name="Copyrange19">#REF!</definedName>
    <definedName name="Copyrange2">#REF!</definedName>
    <definedName name="Copyrange20">#REF!</definedName>
    <definedName name="Copyrange21">#REF!</definedName>
    <definedName name="Copyrange22">#REF!</definedName>
    <definedName name="Copyrange23">#REF!</definedName>
    <definedName name="Copyrange24">#REF!</definedName>
    <definedName name="Copyrange25">#REF!</definedName>
    <definedName name="Copyrange26">#REF!</definedName>
    <definedName name="Copyrange27">#REF!</definedName>
    <definedName name="Copyrange28">#REF!</definedName>
    <definedName name="Copyrange29">#REF!</definedName>
    <definedName name="Copyrange3">#REF!</definedName>
    <definedName name="Copyrange30">#REF!</definedName>
    <definedName name="Copyrange31">#REF!</definedName>
    <definedName name="Copyrange32">#REF!</definedName>
    <definedName name="Copyrange33">#REF!</definedName>
    <definedName name="Copyrange34">#REF!</definedName>
    <definedName name="Copyrange35">#REF!</definedName>
    <definedName name="Copyrange36">#REF!</definedName>
    <definedName name="Copyrange37">#REF!</definedName>
    <definedName name="Copyrange38">#REF!</definedName>
    <definedName name="Copyrange39">#REF!</definedName>
    <definedName name="Copyrange4">#REF!</definedName>
    <definedName name="Copyrange40">#REF!</definedName>
    <definedName name="Copyrange41">#REF!</definedName>
    <definedName name="Copyrange42">#REF!</definedName>
    <definedName name="Copyrange43">#REF!</definedName>
    <definedName name="Copyrange44">#REF!</definedName>
    <definedName name="Copyrange45">#REF!</definedName>
    <definedName name="Copyrange46">#REF!</definedName>
    <definedName name="Copyrange47">#REF!</definedName>
    <definedName name="Copyrange48">#REF!</definedName>
    <definedName name="Copyrange49">#REF!</definedName>
    <definedName name="Copyrange5">#REF!</definedName>
    <definedName name="Copyrange50">#REF!</definedName>
    <definedName name="Copyrange51">#REF!</definedName>
    <definedName name="Copyrange52">#REF!</definedName>
    <definedName name="Copyrange53">#REF!</definedName>
    <definedName name="Copyrange54">#REF!</definedName>
    <definedName name="Copyrange55">#REF!</definedName>
    <definedName name="Copyrange56">#REF!</definedName>
    <definedName name="Copyrange57">#REF!</definedName>
    <definedName name="Copyrange58">#REF!</definedName>
    <definedName name="Copyrange59">#REF!</definedName>
    <definedName name="Copyrange6">#REF!</definedName>
    <definedName name="Copyrange60">#REF!</definedName>
    <definedName name="Copyrange61">#REF!</definedName>
    <definedName name="Copyrange62">#REF!</definedName>
    <definedName name="Copyrange63">#REF!</definedName>
    <definedName name="Copyrange64">#REF!</definedName>
    <definedName name="Copyrange65">#REF!</definedName>
    <definedName name="Copyrange66">#REF!</definedName>
    <definedName name="Copyrange67">#REF!</definedName>
    <definedName name="Copyrange68">#REF!</definedName>
    <definedName name="Copyrange7">#REF!</definedName>
    <definedName name="Copyrange8">#REF!</definedName>
    <definedName name="Copyrange9">#REF!</definedName>
    <definedName name="cos_last1" localSheetId="2">OFFSET(#REF!,#REF!,0,#REF!,1)</definedName>
    <definedName name="cos_last1">OFFSET(#REF!,#REF!,0,#REF!,1)</definedName>
    <definedName name="cos_last2" localSheetId="2">OFFSET(#REF!,#REF!,0,#REF!,1)</definedName>
    <definedName name="cos_last2">OFFSET(#REF!,#REF!,0,#REF!,1)</definedName>
    <definedName name="cos_now" localSheetId="2">OFFSET(#REF!,#REF!,0,#REF!,1)</definedName>
    <definedName name="cos_now">OFFSET(#REF!,#REF!,0,#REF!,1)</definedName>
    <definedName name="cp_fund_1">#REF!</definedName>
    <definedName name="CP_PROFIT_2">#REF!</definedName>
    <definedName name="Cpytaxct">#REF!</definedName>
    <definedName name="Cpytaxin1">#REF!</definedName>
    <definedName name="Cpytaxin10">#REF!</definedName>
    <definedName name="Cpytaxin11">#REF!</definedName>
    <definedName name="Cpytaxin12">#REF!</definedName>
    <definedName name="Cpytaxin13">#REF!</definedName>
    <definedName name="Cpytaxin14">#REF!</definedName>
    <definedName name="Cpytaxin15">#REF!</definedName>
    <definedName name="Cpytaxin2">#REF!</definedName>
    <definedName name="Cpytaxin3">#REF!</definedName>
    <definedName name="Cpytaxin4">#REF!</definedName>
    <definedName name="Cpytaxin5">#REF!</definedName>
    <definedName name="Cpytaxin6">#REF!</definedName>
    <definedName name="Cpytaxin7">#REF!</definedName>
    <definedName name="Cpytaxin8">#REF!</definedName>
    <definedName name="Cpytaxin9">#REF!</definedName>
    <definedName name="crs_bud">#REF!</definedName>
    <definedName name="Current_Tax_Expense">#REF!</definedName>
    <definedName name="CURRLIAB" localSheetId="6">#REF!</definedName>
    <definedName name="CURRLIAB" localSheetId="4">#REF!</definedName>
    <definedName name="CURRLIAB" localSheetId="3">#REF!</definedName>
    <definedName name="CURRLIAB">#REF!</definedName>
    <definedName name="DASH">#REF!</definedName>
    <definedName name="dd">#REF!</definedName>
    <definedName name="dddd">#REF!</definedName>
    <definedName name="Debt_Financing">#REF!</definedName>
    <definedName name="DEBT_PREPAY" localSheetId="6">#REF!</definedName>
    <definedName name="DEBT_PREPAY" localSheetId="4">#REF!</definedName>
    <definedName name="DEBT_PREPAY" localSheetId="3">#REF!</definedName>
    <definedName name="DEBT_PREPAY">#REF!</definedName>
    <definedName name="DebtAssets">#REF!</definedName>
    <definedName name="Depa">#REF!</definedName>
    <definedName name="Depnct">#REF!</definedName>
    <definedName name="Depnin1">#REF!</definedName>
    <definedName name="Depnin10">#REF!</definedName>
    <definedName name="Depnin11">#REF!</definedName>
    <definedName name="Depnin12">#REF!</definedName>
    <definedName name="Depnin13">#REF!</definedName>
    <definedName name="Depnin14">#REF!</definedName>
    <definedName name="Depnin15">#REF!</definedName>
    <definedName name="Depnin2">#REF!</definedName>
    <definedName name="Depnin3">#REF!</definedName>
    <definedName name="Depnin4">#REF!</definedName>
    <definedName name="Depnin5">#REF!</definedName>
    <definedName name="Depnin6">#REF!</definedName>
    <definedName name="Depnin7">#REF!</definedName>
    <definedName name="Depnin8">#REF!</definedName>
    <definedName name="Depnin9">#REF!</definedName>
    <definedName name="DEPRECIATION" localSheetId="6">#REF!</definedName>
    <definedName name="DEPRECIATION" localSheetId="4">#REF!</definedName>
    <definedName name="DEPRECIATION" localSheetId="3">#REF!</definedName>
    <definedName name="DEPRECIATION">#REF!</definedName>
    <definedName name="Depreciation___AM_Costs">#REF!</definedName>
    <definedName name="Depreciation_and_AM_Costs">#REF!</definedName>
    <definedName name="Depreciation_and_Non_Cash_Expenses">#REF!</definedName>
    <definedName name="DIFFERENCE">#REF!</definedName>
    <definedName name="DIRECT_ENERGY_EXPENSES">#REF!</definedName>
    <definedName name="DistressCost">#REF!</definedName>
    <definedName name="DistressThreshold">#REF!</definedName>
    <definedName name="Dividends">#REF!</definedName>
    <definedName name="drs_bud">#REF!</definedName>
    <definedName name="EbitCoefficient">#REF!</definedName>
    <definedName name="EBITDA">#REF!</definedName>
    <definedName name="EBITDAct">#REF!</definedName>
    <definedName name="EBITDAin1">#REF!</definedName>
    <definedName name="EBITDAin10">#REF!</definedName>
    <definedName name="EBITDAin11">#REF!</definedName>
    <definedName name="EBITDAin12">#REF!</definedName>
    <definedName name="EBITDAin13">#REF!</definedName>
    <definedName name="EBITDAin14">#REF!</definedName>
    <definedName name="EBITDAin15">#REF!</definedName>
    <definedName name="EBITDAin2">#REF!</definedName>
    <definedName name="EBITDAin3">#REF!</definedName>
    <definedName name="EBITDAin4">#REF!</definedName>
    <definedName name="EBITDAin5">#REF!</definedName>
    <definedName name="EBITDAin6">#REF!</definedName>
    <definedName name="EBITDAin7">#REF!</definedName>
    <definedName name="EBITDAin8">#REF!</definedName>
    <definedName name="EBITDAin9">#REF!</definedName>
    <definedName name="EBITDARCoverage">#REF!</definedName>
    <definedName name="EbitIntercept">#REF!</definedName>
    <definedName name="EbitStart">#REF!</definedName>
    <definedName name="EbitVolatility">#REF!</definedName>
    <definedName name="ECNZDrwn">#REF!</definedName>
    <definedName name="ECNZRate">#REF!</definedName>
    <definedName name="EDP" localSheetId="6">#REF!</definedName>
    <definedName name="EDP" localSheetId="4">#REF!</definedName>
    <definedName name="EDP" localSheetId="3">#REF!</definedName>
    <definedName name="EDP">#REF!</definedName>
    <definedName name="Emco">#REF!</definedName>
    <definedName name="Energy_Related_Costs">#REF!</definedName>
    <definedName name="EQUAL_TO_EAIT">#REF!</definedName>
    <definedName name="Ex_ESCROW_Account">#REF!</definedName>
    <definedName name="Ex_Investments">#REF!</definedName>
    <definedName name="Exbondrate">#REF!</definedName>
    <definedName name="Exfltdebt">#REF!</definedName>
    <definedName name="Exfltspread">#REF!</definedName>
    <definedName name="ExpectedEPS">#REF!</definedName>
    <definedName name="ExpectedEPSVolatility">#REF!</definedName>
    <definedName name="EXPENSES">#REF!</definedName>
    <definedName name="F2000yr">#REF!</definedName>
    <definedName name="Finance_Costs">#REF!</definedName>
    <definedName name="FINANCIAL" localSheetId="6">#REF!</definedName>
    <definedName name="FINANCIAL" localSheetId="4">#REF!</definedName>
    <definedName name="FINANCIAL" localSheetId="3">#REF!</definedName>
    <definedName name="FINANCIAL">#REF!</definedName>
    <definedName name="Finish">#REF!</definedName>
    <definedName name="Floatin1">#REF!</definedName>
    <definedName name="Floatin10">#REF!</definedName>
    <definedName name="Floatin11">#REF!</definedName>
    <definedName name="Floatin12">#REF!</definedName>
    <definedName name="Floatin13">#REF!</definedName>
    <definedName name="Floatin14">#REF!</definedName>
    <definedName name="Floatin15">#REF!</definedName>
    <definedName name="Floatin2">#REF!</definedName>
    <definedName name="Floatin3">#REF!</definedName>
    <definedName name="Floatin4">#REF!</definedName>
    <definedName name="Floatin5">#REF!</definedName>
    <definedName name="Floatin6">#REF!</definedName>
    <definedName name="Floatin7">#REF!</definedName>
    <definedName name="Floatin8">#REF!</definedName>
    <definedName name="Floatin9">#REF!</definedName>
    <definedName name="FRNDrwn">#REF!</definedName>
    <definedName name="FRNRate">#REF!</definedName>
    <definedName name="Funding">#REF!</definedName>
    <definedName name="Fxdin1_1">#REF!</definedName>
    <definedName name="Fxdin1_10">#REF!</definedName>
    <definedName name="Fxdin1_11">#REF!</definedName>
    <definedName name="Fxdin1_12">#REF!</definedName>
    <definedName name="Fxdin1_2">#REF!</definedName>
    <definedName name="Fxdin1_3">#REF!</definedName>
    <definedName name="Fxdin1_4">#REF!</definedName>
    <definedName name="Fxdin1_5">#REF!</definedName>
    <definedName name="Fxdin1_6">#REF!</definedName>
    <definedName name="Fxdin1_7">#REF!</definedName>
    <definedName name="Fxdin1_8">#REF!</definedName>
    <definedName name="Fxdin1_9">#REF!</definedName>
    <definedName name="Fxdin10_1">#REF!</definedName>
    <definedName name="Fxdin10_10">#REF!</definedName>
    <definedName name="Fxdin10_11">#REF!</definedName>
    <definedName name="Fxdin10_12">#REF!</definedName>
    <definedName name="Fxdin10_2">#REF!</definedName>
    <definedName name="Fxdin10_3">#REF!</definedName>
    <definedName name="Fxdin10_4">#REF!</definedName>
    <definedName name="Fxdin10_5">#REF!</definedName>
    <definedName name="Fxdin10_6">#REF!</definedName>
    <definedName name="Fxdin10_7">#REF!</definedName>
    <definedName name="Fxdin10_8">#REF!</definedName>
    <definedName name="Fxdin10_9">#REF!</definedName>
    <definedName name="Fxdin11_1">#REF!</definedName>
    <definedName name="Fxdin11_10">#REF!</definedName>
    <definedName name="Fxdin11_11">#REF!</definedName>
    <definedName name="Fxdin11_12">#REF!</definedName>
    <definedName name="Fxdin11_2">#REF!</definedName>
    <definedName name="Fxdin11_3">#REF!</definedName>
    <definedName name="Fxdin11_4">#REF!</definedName>
    <definedName name="Fxdin11_5">#REF!</definedName>
    <definedName name="Fxdin11_6">#REF!</definedName>
    <definedName name="Fxdin11_7">#REF!</definedName>
    <definedName name="Fxdin11_8">#REF!</definedName>
    <definedName name="Fxdin11_9">#REF!</definedName>
    <definedName name="Fxdin12_1">#REF!</definedName>
    <definedName name="Fxdin12_10">#REF!</definedName>
    <definedName name="Fxdin12_11">#REF!</definedName>
    <definedName name="Fxdin12_12">#REF!</definedName>
    <definedName name="Fxdin12_2">#REF!</definedName>
    <definedName name="Fxdin12_3">#REF!</definedName>
    <definedName name="Fxdin12_4">#REF!</definedName>
    <definedName name="Fxdin12_5">#REF!</definedName>
    <definedName name="Fxdin12_6">#REF!</definedName>
    <definedName name="Fxdin12_7">#REF!</definedName>
    <definedName name="Fxdin12_8">#REF!</definedName>
    <definedName name="Fxdin12_9">#REF!</definedName>
    <definedName name="Fxdin13_1">#REF!</definedName>
    <definedName name="Fxdin13_10">#REF!</definedName>
    <definedName name="Fxdin13_11">#REF!</definedName>
    <definedName name="Fxdin13_12">#REF!</definedName>
    <definedName name="Fxdin13_2">#REF!</definedName>
    <definedName name="Fxdin13_3">#REF!</definedName>
    <definedName name="Fxdin13_4">#REF!</definedName>
    <definedName name="Fxdin13_5">#REF!</definedName>
    <definedName name="Fxdin13_6">#REF!</definedName>
    <definedName name="Fxdin13_7">#REF!</definedName>
    <definedName name="Fxdin13_8">#REF!</definedName>
    <definedName name="Fxdin13_9">#REF!</definedName>
    <definedName name="Fxdin14_1">#REF!</definedName>
    <definedName name="Fxdin14_10">#REF!</definedName>
    <definedName name="Fxdin14_11">#REF!</definedName>
    <definedName name="Fxdin14_12">#REF!</definedName>
    <definedName name="Fxdin14_2">#REF!</definedName>
    <definedName name="Fxdin14_3">#REF!</definedName>
    <definedName name="Fxdin14_4">#REF!</definedName>
    <definedName name="Fxdin14_5">#REF!</definedName>
    <definedName name="Fxdin14_6">#REF!</definedName>
    <definedName name="Fxdin14_7">#REF!</definedName>
    <definedName name="Fxdin14_8">#REF!</definedName>
    <definedName name="Fxdin14_9">#REF!</definedName>
    <definedName name="Fxdin15_1">#REF!</definedName>
    <definedName name="Fxdin15_10">#REF!</definedName>
    <definedName name="Fxdin15_11">#REF!</definedName>
    <definedName name="Fxdin15_12">#REF!</definedName>
    <definedName name="Fxdin15_2">#REF!</definedName>
    <definedName name="Fxdin15_3">#REF!</definedName>
    <definedName name="Fxdin15_4">#REF!</definedName>
    <definedName name="Fxdin15_5">#REF!</definedName>
    <definedName name="Fxdin15_6">#REF!</definedName>
    <definedName name="Fxdin15_7">#REF!</definedName>
    <definedName name="Fxdin15_8">#REF!</definedName>
    <definedName name="Fxdin15_9">#REF!</definedName>
    <definedName name="Fxdin2_1">#REF!</definedName>
    <definedName name="Fxdin2_10">#REF!</definedName>
    <definedName name="Fxdin2_11">#REF!</definedName>
    <definedName name="Fxdin2_12">#REF!</definedName>
    <definedName name="Fxdin2_2">#REF!</definedName>
    <definedName name="Fxdin2_3">#REF!</definedName>
    <definedName name="Fxdin2_4">#REF!</definedName>
    <definedName name="Fxdin2_5">#REF!</definedName>
    <definedName name="Fxdin2_6">#REF!</definedName>
    <definedName name="Fxdin2_7">#REF!</definedName>
    <definedName name="Fxdin2_8">#REF!</definedName>
    <definedName name="Fxdin2_9">#REF!</definedName>
    <definedName name="Fxdin3_1">#REF!</definedName>
    <definedName name="Fxdin3_10">#REF!</definedName>
    <definedName name="Fxdin3_11">#REF!</definedName>
    <definedName name="Fxdin3_12">#REF!</definedName>
    <definedName name="Fxdin3_2">#REF!</definedName>
    <definedName name="Fxdin3_3">#REF!</definedName>
    <definedName name="Fxdin3_4">#REF!</definedName>
    <definedName name="Fxdin3_5">#REF!</definedName>
    <definedName name="Fxdin3_6">#REF!</definedName>
    <definedName name="Fxdin3_7">#REF!</definedName>
    <definedName name="Fxdin3_8">#REF!</definedName>
    <definedName name="Fxdin3_9">#REF!</definedName>
    <definedName name="Fxdin4_1">#REF!</definedName>
    <definedName name="Fxdin4_10">#REF!</definedName>
    <definedName name="Fxdin4_11">#REF!</definedName>
    <definedName name="Fxdin4_12">#REF!</definedName>
    <definedName name="Fxdin4_2">#REF!</definedName>
    <definedName name="Fxdin4_3">#REF!</definedName>
    <definedName name="Fxdin4_4">#REF!</definedName>
    <definedName name="Fxdin4_5">#REF!</definedName>
    <definedName name="Fxdin4_6">#REF!</definedName>
    <definedName name="Fxdin4_7">#REF!</definedName>
    <definedName name="Fxdin4_8">#REF!</definedName>
    <definedName name="Fxdin4_9">#REF!</definedName>
    <definedName name="Fxdin5_1">#REF!</definedName>
    <definedName name="Fxdin5_10">#REF!</definedName>
    <definedName name="Fxdin5_11">#REF!</definedName>
    <definedName name="Fxdin5_12">#REF!</definedName>
    <definedName name="Fxdin5_2">#REF!</definedName>
    <definedName name="Fxdin5_3">#REF!</definedName>
    <definedName name="Fxdin5_4">#REF!</definedName>
    <definedName name="Fxdin5_5">#REF!</definedName>
    <definedName name="Fxdin5_6">#REF!</definedName>
    <definedName name="Fxdin5_7">#REF!</definedName>
    <definedName name="Fxdin5_8">#REF!</definedName>
    <definedName name="Fxdin5_9">#REF!</definedName>
    <definedName name="Fxdin6_1">#REF!</definedName>
    <definedName name="Fxdin6_10">#REF!</definedName>
    <definedName name="Fxdin6_11">#REF!</definedName>
    <definedName name="Fxdin6_12">#REF!</definedName>
    <definedName name="Fxdin6_2">#REF!</definedName>
    <definedName name="Fxdin6_3">#REF!</definedName>
    <definedName name="Fxdin6_4">#REF!</definedName>
    <definedName name="Fxdin6_5">#REF!</definedName>
    <definedName name="Fxdin6_6">#REF!</definedName>
    <definedName name="Fxdin6_7">#REF!</definedName>
    <definedName name="Fxdin6_8">#REF!</definedName>
    <definedName name="Fxdin6_9">#REF!</definedName>
    <definedName name="Fxdin7_1">#REF!</definedName>
    <definedName name="Fxdin7_10">#REF!</definedName>
    <definedName name="Fxdin7_11">#REF!</definedName>
    <definedName name="Fxdin7_12">#REF!</definedName>
    <definedName name="Fxdin7_2">#REF!</definedName>
    <definedName name="Fxdin7_3">#REF!</definedName>
    <definedName name="Fxdin7_4">#REF!</definedName>
    <definedName name="Fxdin7_5">#REF!</definedName>
    <definedName name="Fxdin7_6">#REF!</definedName>
    <definedName name="Fxdin7_7">#REF!</definedName>
    <definedName name="Fxdin7_8">#REF!</definedName>
    <definedName name="Fxdin7_9">#REF!</definedName>
    <definedName name="Fxdin8_1">#REF!</definedName>
    <definedName name="Fxdin8_10">#REF!</definedName>
    <definedName name="Fxdin8_11">#REF!</definedName>
    <definedName name="Fxdin8_12">#REF!</definedName>
    <definedName name="Fxdin8_2">#REF!</definedName>
    <definedName name="Fxdin8_3">#REF!</definedName>
    <definedName name="Fxdin8_4">#REF!</definedName>
    <definedName name="Fxdin8_5">#REF!</definedName>
    <definedName name="Fxdin8_6">#REF!</definedName>
    <definedName name="Fxdin8_7">#REF!</definedName>
    <definedName name="Fxdin8_8">#REF!</definedName>
    <definedName name="Fxdin8_9">#REF!</definedName>
    <definedName name="Fxdin9_1">#REF!</definedName>
    <definedName name="Fxdin9_10">#REF!</definedName>
    <definedName name="Fxdin9_11">#REF!</definedName>
    <definedName name="Fxdin9_12">#REF!</definedName>
    <definedName name="Fxdin9_2">#REF!</definedName>
    <definedName name="Fxdin9_3">#REF!</definedName>
    <definedName name="Fxdin9_4">#REF!</definedName>
    <definedName name="Fxdin9_5">#REF!</definedName>
    <definedName name="Fxdin9_6">#REF!</definedName>
    <definedName name="Fxdin9_7">#REF!</definedName>
    <definedName name="Fxdin9_8">#REF!</definedName>
    <definedName name="Fxdin9_9">#REF!</definedName>
    <definedName name="FYR">#REF!</definedName>
    <definedName name="GOODWILL" localSheetId="6">#REF!</definedName>
    <definedName name="GOODWILL" localSheetId="4">#REF!</definedName>
    <definedName name="GOODWILL" localSheetId="3">#REF!</definedName>
    <definedName name="GOODWILL">#REF!</definedName>
    <definedName name="Goodwillct">#REF!</definedName>
    <definedName name="Goodwillin1">#REF!</definedName>
    <definedName name="Goodwillin10">#REF!</definedName>
    <definedName name="Goodwillin11">#REF!</definedName>
    <definedName name="Goodwillin12">#REF!</definedName>
    <definedName name="Goodwillin13">#REF!</definedName>
    <definedName name="Goodwillin14">#REF!</definedName>
    <definedName name="Goodwillin15">#REF!</definedName>
    <definedName name="Goodwillin2">#REF!</definedName>
    <definedName name="Goodwillin3">#REF!</definedName>
    <definedName name="Goodwillin4">#REF!</definedName>
    <definedName name="Goodwillin5">#REF!</definedName>
    <definedName name="Goodwillin6">#REF!</definedName>
    <definedName name="Goodwillin7">#REF!</definedName>
    <definedName name="Goodwillin8">#REF!</definedName>
    <definedName name="Goodwillin9">#REF!</definedName>
    <definedName name="Grid_Exit_Points">#REF!</definedName>
    <definedName name="GROSS_CONTRIBUTION">#REF!</definedName>
    <definedName name="GrowthRate">#REF!</definedName>
    <definedName name="GST">#REF!</definedName>
    <definedName name="hedge_table">#REF!</definedName>
    <definedName name="hedge_table_save">#REF!</definedName>
    <definedName name="hedge_table_save_ytd">#REF!</definedName>
    <definedName name="hedge_table_ytd">#REF!</definedName>
    <definedName name="Hedges">#REF!</definedName>
    <definedName name="HOLOS_DL_BS_ACT">#REF!</definedName>
    <definedName name="HOLOS_DL_BS_GGRSM">#REF!</definedName>
    <definedName name="HOLOS_DL_BS_LAST_YR">#REF!</definedName>
    <definedName name="HOLOS_DL_BUD_ANL">#REF!</definedName>
    <definedName name="HOLOS_DL_BUD_YTD">#REF!</definedName>
    <definedName name="HOLOS_DL_LAST_YR">#REF!</definedName>
    <definedName name="HOLOS_DL_PL_ACT">#REF!</definedName>
    <definedName name="HOLOS_DL_PL_GGRSM">#REF!</definedName>
    <definedName name="HOLOS_DL_REV_ACT">#REF!</definedName>
    <definedName name="HOLOS_DL_REV_BUD">#REF!</definedName>
    <definedName name="HOLOS_ORIENT_DL_BS_ACT">#REF!</definedName>
    <definedName name="HOLOS_ORIENT_DL_BS_GGRSM">#REF!</definedName>
    <definedName name="HOLOS_ORIENT_DL_BS_LAST_YR">#REF!</definedName>
    <definedName name="HOLOS_ORIENT_DL_BUD_ANL">#REF!</definedName>
    <definedName name="HOLOS_ORIENT_DL_BUD_YTD">#REF!</definedName>
    <definedName name="HOLOS_ORIENT_DL_LAST_YR">#REF!</definedName>
    <definedName name="HOLOS_ORIENT_DL_PL_ACT">#REF!</definedName>
    <definedName name="HOLOS_ORIENT_DL_PL_GGRSM">#REF!</definedName>
    <definedName name="HOLOS_ORIENT_DL_REV_ACT">#REF!</definedName>
    <definedName name="HOLOS_ORIENT_DL_REV_BUD">#REF!</definedName>
    <definedName name="i" localSheetId="6">Module1.NvsPriorMacro</definedName>
    <definedName name="i" localSheetId="4">Module1.NvsPriorMacro</definedName>
    <definedName name="i" localSheetId="2">Module1.NvsPriorMacro</definedName>
    <definedName name="i" localSheetId="3">Module1.NvsPriorMacro</definedName>
    <definedName name="i">Module1.NvsPriorMacro</definedName>
    <definedName name="Income_Tax">#REF!</definedName>
    <definedName name="Information_Technology">#REF!</definedName>
    <definedName name="INPUT">#REF!</definedName>
    <definedName name="INPUT_TITLE">#REF!</definedName>
    <definedName name="Int">#REF!</definedName>
    <definedName name="INTEREST" localSheetId="6">#REF!</definedName>
    <definedName name="INTEREST" localSheetId="4">#REF!</definedName>
    <definedName name="INTEREST" localSheetId="3">#REF!</definedName>
    <definedName name="INTEREST">#REF!</definedName>
    <definedName name="Interest___Insurances">#REF!</definedName>
    <definedName name="Interest_and_Insurances">#REF!</definedName>
    <definedName name="Internal_Hedges">#REF!</definedName>
    <definedName name="INVESTMENTS_IN_SUBSIDIARIES">#REF!</definedName>
    <definedName name="Iteration">#REF!</definedName>
    <definedName name="jnls" localSheetId="6">Module1.NvsPriorMacro</definedName>
    <definedName name="jnls" localSheetId="4">Module1.NvsPriorMacro</definedName>
    <definedName name="jnls" localSheetId="2">Module1.NvsPriorMacro</definedName>
    <definedName name="jnls" localSheetId="3">Module1.NvsPriorMacro</definedName>
    <definedName name="jnls">Module1.NvsPriorMacro</definedName>
    <definedName name="jnls2" localSheetId="6">Module1.NvsPriorMacro</definedName>
    <definedName name="jnls2" localSheetId="4">Module1.NvsPriorMacro</definedName>
    <definedName name="jnls2" localSheetId="2">Module1.NvsPriorMacro</definedName>
    <definedName name="jnls2" localSheetId="3">Module1.NvsPriorMacro</definedName>
    <definedName name="jnls2">Module1.NvsPriorMacro</definedName>
    <definedName name="Known_Capital_Project_Payments">#REF!</definedName>
    <definedName name="LESS_DIFFERENCES_TO_RECONCILE">#REF!</definedName>
    <definedName name="life_to_date_1999" localSheetId="6">#REF!</definedName>
    <definedName name="life_to_date_1999" localSheetId="4">#REF!</definedName>
    <definedName name="life_to_date_1999" localSheetId="3">#REF!</definedName>
    <definedName name="life_to_date_1999">#REF!</definedName>
    <definedName name="Line_Charges___Retail">#REF!</definedName>
    <definedName name="LYN" localSheetId="6">#REF!</definedName>
    <definedName name="LYN" localSheetId="4">#REF!</definedName>
    <definedName name="LYN" localSheetId="3">#REF!</definedName>
    <definedName name="LYN">#REF!</definedName>
    <definedName name="MARKETING" localSheetId="6">#REF!</definedName>
    <definedName name="MARKETING" localSheetId="4">#REF!</definedName>
    <definedName name="MARKETING" localSheetId="3">#REF!</definedName>
    <definedName name="MARKETING">#REF!</definedName>
    <definedName name="mealp_bud">#REF!</definedName>
    <definedName name="mealp_bud_save_ytd">#REF!</definedName>
    <definedName name="mealp_bud_ytd">#REF!</definedName>
    <definedName name="mealp_bud_ytd1">#REF!</definedName>
    <definedName name="meapl_bud_save">#REF!</definedName>
    <definedName name="meapl_bud_save_ytd">#REF!</definedName>
    <definedName name="meapl_bud1">#REF!</definedName>
    <definedName name="meridian" localSheetId="6">Module1.NvsPriorMacro</definedName>
    <definedName name="meridian" localSheetId="4">Module1.NvsPriorMacro</definedName>
    <definedName name="meridian" localSheetId="2">Module1.NvsPriorMacro</definedName>
    <definedName name="meridian" localSheetId="3">Module1.NvsPriorMacro</definedName>
    <definedName name="meridian">Module1.NvsPriorMacro</definedName>
    <definedName name="nat" localSheetId="7">'Nominal GDP'!#REF!</definedName>
    <definedName name="NET_CASH_FLOW">#REF!</definedName>
    <definedName name="NET_OPERATING_AFTER_TAX">#REF!</definedName>
    <definedName name="NET_OPERATING_BEFORE_TAX">#REF!</definedName>
    <definedName name="NETWORK" localSheetId="6">#REF!</definedName>
    <definedName name="NETWORK" localSheetId="4">#REF!</definedName>
    <definedName name="NETWORK" localSheetId="3">#REF!</definedName>
    <definedName name="NETWORK">#REF!</definedName>
    <definedName name="new" localSheetId="6">Module1.NvsPriorMacro</definedName>
    <definedName name="new" localSheetId="4">Module1.NvsPriorMacro</definedName>
    <definedName name="new" localSheetId="2">Module1.NvsPriorMacro</definedName>
    <definedName name="new" localSheetId="3">Module1.NvsPriorMacro</definedName>
    <definedName name="new">Module1.NvsPriorMacro</definedName>
    <definedName name="NvsASD">"V1999-07-31"</definedName>
    <definedName name="NvsAutoDrillOk">"VN"</definedName>
    <definedName name="NvsElapsedTime">0.0000799768531578593</definedName>
    <definedName name="NvsEndTime">37831.507665162</definedName>
    <definedName name="NvsInstance" localSheetId="6">Module1.NvsPriorMacro</definedName>
    <definedName name="NvsInstance" localSheetId="4">Module1.NvsPriorMacro</definedName>
    <definedName name="NvsInstance" localSheetId="2">Module1.NvsPriorMacro</definedName>
    <definedName name="NvsInstance" localSheetId="3">Module1.NvsPriorMacro</definedName>
    <definedName name="NvsInstance">Module1.NvsPriorMacro</definedName>
    <definedName name="NvsInstSpec">"%"</definedName>
    <definedName name="NvsLayoutType">"M3"</definedName>
    <definedName name="NvsNplSpec">"%,X,RZF.ACCOUNT.,CZF.."</definedName>
    <definedName name="NvsPanelEffdt">"V1999-07-27"</definedName>
    <definedName name="NvsPanelSetid">"VSHARE"</definedName>
    <definedName name="NvsReqBU">"VMEL01"</definedName>
    <definedName name="NvsReqBUOnly">"VY"</definedName>
    <definedName name="NvsTransLed">"VN"</definedName>
    <definedName name="NvsTreeASD">"V1999-07-31"</definedName>
    <definedName name="NvsValTbl.SCENARIO">"BD_SCENARIO_TBL"</definedName>
    <definedName name="old" localSheetId="6">Module1.NvsPriorMacro</definedName>
    <definedName name="old" localSheetId="4">Module1.NvsPriorMacro</definedName>
    <definedName name="old" localSheetId="2">Module1.NvsPriorMacro</definedName>
    <definedName name="old" localSheetId="3">Module1.NvsPriorMacro</definedName>
    <definedName name="old">Module1.NvsPriorMacro</definedName>
    <definedName name="on_bud_save">#REF!</definedName>
    <definedName name="on_bud_save_ytd">#REF!</definedName>
    <definedName name="on_en_bc">#REF!</definedName>
    <definedName name="on_en_bc_ytd">#REF!</definedName>
    <definedName name="on_save_bud">#REF!</definedName>
    <definedName name="on_save_bud_ytd">#REF!</definedName>
    <definedName name="Other">#REF!</definedName>
    <definedName name="Other_Debtors">#REF!</definedName>
    <definedName name="Other_Income">#REF!</definedName>
    <definedName name="OTHERCA" localSheetId="6">#REF!</definedName>
    <definedName name="OTHERCA" localSheetId="4">#REF!</definedName>
    <definedName name="OTHERCA" localSheetId="3">#REF!</definedName>
    <definedName name="OTHERCA">#REF!</definedName>
    <definedName name="OTHERINV" localSheetId="6">#REF!</definedName>
    <definedName name="OTHERINV" localSheetId="4">#REF!</definedName>
    <definedName name="OTHERINV" localSheetId="3">#REF!</definedName>
    <definedName name="OTHERINV">#REF!</definedName>
    <definedName name="OTHERREV" localSheetId="6">#REF!</definedName>
    <definedName name="OTHERREV" localSheetId="4">#REF!</definedName>
    <definedName name="OTHERREV" localSheetId="3">#REF!</definedName>
    <definedName name="OTHERREV">#REF!</definedName>
    <definedName name="Outsourced_Services">#REF!</definedName>
    <definedName name="Parent_Company">#REF!</definedName>
    <definedName name="Pasterange1">#REF!</definedName>
    <definedName name="Pasterange10">#REF!</definedName>
    <definedName name="Pasterange11">#REF!</definedName>
    <definedName name="Pasterange12">#REF!</definedName>
    <definedName name="Pasterange13">#REF!</definedName>
    <definedName name="Pasterange14">#REF!</definedName>
    <definedName name="Pasterange15">#REF!</definedName>
    <definedName name="Pasterange16">#REF!</definedName>
    <definedName name="Pasterange17">#REF!</definedName>
    <definedName name="Pasterange18">#REF!</definedName>
    <definedName name="Pasterange19">#REF!</definedName>
    <definedName name="Pasterange2">#REF!</definedName>
    <definedName name="Pasterange20">#REF!</definedName>
    <definedName name="Pasterange21">#REF!</definedName>
    <definedName name="Pasterange22">#REF!</definedName>
    <definedName name="Pasterange23">#REF!</definedName>
    <definedName name="Pasterange24">#REF!</definedName>
    <definedName name="Pasterange25">#REF!</definedName>
    <definedName name="Pasterange26">#REF!</definedName>
    <definedName name="Pasterange27">#REF!</definedName>
    <definedName name="Pasterange28">#REF!</definedName>
    <definedName name="Pasterange29">#REF!</definedName>
    <definedName name="Pasterange3">#REF!</definedName>
    <definedName name="Pasterange30">#REF!</definedName>
    <definedName name="Pasterange31">#REF!</definedName>
    <definedName name="Pasterange32">#REF!</definedName>
    <definedName name="Pasterange33">#REF!</definedName>
    <definedName name="Pasterange34">#REF!</definedName>
    <definedName name="Pasterange35">#REF!</definedName>
    <definedName name="Pasterange36">#REF!</definedName>
    <definedName name="Pasterange37">#REF!</definedName>
    <definedName name="Pasterange38">#REF!</definedName>
    <definedName name="Pasterange39" localSheetId="6">#REF!</definedName>
    <definedName name="Pasterange39" localSheetId="4">#REF!</definedName>
    <definedName name="Pasterange39" localSheetId="3">#REF!</definedName>
    <definedName name="Pasterange39">#REF!</definedName>
    <definedName name="Pasterange4">#REF!</definedName>
    <definedName name="Pasterange40">#REF!</definedName>
    <definedName name="Pasterange41" localSheetId="6">#REF!</definedName>
    <definedName name="Pasterange41" localSheetId="4">#REF!</definedName>
    <definedName name="Pasterange41" localSheetId="3">#REF!</definedName>
    <definedName name="Pasterange41">#REF!</definedName>
    <definedName name="Pasterange42">#REF!</definedName>
    <definedName name="Pasterange43">#REF!</definedName>
    <definedName name="Pasterange44">#REF!</definedName>
    <definedName name="Pasterange45">#REF!</definedName>
    <definedName name="Pasterange46">#REF!</definedName>
    <definedName name="Pasterange47">#REF!</definedName>
    <definedName name="Pasterange48">#REF!</definedName>
    <definedName name="Pasterange49">#REF!</definedName>
    <definedName name="Pasterange5">#REF!</definedName>
    <definedName name="Pasterange50">#REF!</definedName>
    <definedName name="Pasterange51">#REF!</definedName>
    <definedName name="Pasterange52">#REF!</definedName>
    <definedName name="Pasterange53">#REF!</definedName>
    <definedName name="Pasterange54">#REF!</definedName>
    <definedName name="Pasterange55">#REF!</definedName>
    <definedName name="Pasterange56">#REF!</definedName>
    <definedName name="Pasterange57">#REF!</definedName>
    <definedName name="Pasterange58">#REF!</definedName>
    <definedName name="Pasterange59">#REF!</definedName>
    <definedName name="Pasterange6">#REF!</definedName>
    <definedName name="Pasterange60">#REF!</definedName>
    <definedName name="Pasterange61">#REF!</definedName>
    <definedName name="Pasterange62">#REF!</definedName>
    <definedName name="Pasterange63">#REF!</definedName>
    <definedName name="Pasterange64">#REF!</definedName>
    <definedName name="Pasterange65">#REF!</definedName>
    <definedName name="Pasterange66">#REF!</definedName>
    <definedName name="Pasterange67" localSheetId="6">#REF!</definedName>
    <definedName name="Pasterange67" localSheetId="4">#REF!</definedName>
    <definedName name="Pasterange67" localSheetId="3">#REF!</definedName>
    <definedName name="Pasterange67">#REF!</definedName>
    <definedName name="Pasterange68" localSheetId="6">#REF!</definedName>
    <definedName name="Pasterange68" localSheetId="4">#REF!</definedName>
    <definedName name="Pasterange68" localSheetId="3">#REF!</definedName>
    <definedName name="Pasterange68">#REF!</definedName>
    <definedName name="Pasterange7">#REF!</definedName>
    <definedName name="Pasterange8">#REF!</definedName>
    <definedName name="Pasterange9">#REF!</definedName>
    <definedName name="Paths">#REF!</definedName>
    <definedName name="penalty">#REF!</definedName>
    <definedName name="perform_date">#REF!</definedName>
    <definedName name="PERMANENT_DIFFERENCES">#REF!</definedName>
    <definedName name="PERSONNEL" localSheetId="6">#REF!</definedName>
    <definedName name="PERSONNEL" localSheetId="4">#REF!</definedName>
    <definedName name="PERSONNEL" localSheetId="3">#REF!</definedName>
    <definedName name="PERSONNEL">#REF!</definedName>
    <definedName name="PHIL_AGENCY" localSheetId="6">#REF!</definedName>
    <definedName name="PHIL_AGENCY" localSheetId="4">#REF!</definedName>
    <definedName name="PHIL_AGENCY" localSheetId="3">#REF!</definedName>
    <definedName name="PHIL_AGENCY">#REF!</definedName>
    <definedName name="pl_bud_2002">#REF!</definedName>
    <definedName name="pl_bud_save">#REF!</definedName>
    <definedName name="pl_bud_save_ytd">#REF!</definedName>
    <definedName name="pl_bud_ytd_2002">#REF!</definedName>
    <definedName name="PLANT" localSheetId="6">#REF!</definedName>
    <definedName name="PLANT" localSheetId="4">#REF!</definedName>
    <definedName name="PLANT" localSheetId="3">#REF!</definedName>
    <definedName name="PLANT">#REF!</definedName>
    <definedName name="Plant___Vehicle___Proprty">#REF!</definedName>
    <definedName name="Plant__Vehicles_and_Property">#REF!</definedName>
    <definedName name="pmd_bud">#REF!</definedName>
    <definedName name="pmd_bud_save">#REF!</definedName>
    <definedName name="pmd_bud_save_ytd">#REF!</definedName>
    <definedName name="pmd_bud_ytd">#REF!</definedName>
    <definedName name="pointer">#REF!</definedName>
    <definedName name="POSTAGE" localSheetId="6">#REF!</definedName>
    <definedName name="POSTAGE" localSheetId="4">#REF!</definedName>
    <definedName name="POSTAGE" localSheetId="3">#REF!</definedName>
    <definedName name="POSTAGE">#REF!</definedName>
    <definedName name="PretaxCoverage">#REF!</definedName>
    <definedName name="Principal_Repayments">#REF!</definedName>
    <definedName name="_xlnm.Print_Area" localSheetId="1">'Series Descriptions'!$A$1:$F$161</definedName>
    <definedName name="_xlnm.Print_Area" localSheetId="3">Spending!$A$1:$Q$128</definedName>
    <definedName name="_xlnm.Print_Area">#REF!</definedName>
    <definedName name="Print_Area_MI">#REF!</definedName>
    <definedName name="_xlnm.Print_Titles">#REF!</definedName>
    <definedName name="Print_Titles_MI">#REF!</definedName>
    <definedName name="Promotional">#REF!</definedName>
    <definedName name="Pulse_Costs">#REF!</definedName>
    <definedName name="q">#REF!</definedName>
    <definedName name="ratingA">#REF!</definedName>
    <definedName name="ratingAA">#REF!</definedName>
    <definedName name="ratingAAA">#REF!</definedName>
    <definedName name="ratingBBB">#REF!</definedName>
    <definedName name="ratingJUNK">#REF!</definedName>
    <definedName name="rec_last1" localSheetId="2">OFFSET(#REF!,#REF!,0,#REF!,1)</definedName>
    <definedName name="rec_last1">OFFSET(#REF!,#REF!,0,#REF!,1)</definedName>
    <definedName name="rec_last2" localSheetId="2">OFFSET(#REF!,#REF!,0,#REF!,1)</definedName>
    <definedName name="rec_last2">OFFSET(#REF!,#REF!,0,#REF!,1)</definedName>
    <definedName name="rec_now" localSheetId="2">OFFSET(#REF!,#REF!,0,#REF!,1)</definedName>
    <definedName name="rec_now">OFFSET(#REF!,#REF!,0,#REF!,1)</definedName>
    <definedName name="rep" localSheetId="6">Module1.NvsPriorMacro</definedName>
    <definedName name="rep" localSheetId="4">Module1.NvsPriorMacro</definedName>
    <definedName name="rep" localSheetId="2">Module1.NvsPriorMacro</definedName>
    <definedName name="rep" localSheetId="3">Module1.NvsPriorMacro</definedName>
    <definedName name="rep">Module1.NvsPriorMacro</definedName>
    <definedName name="REPORT_ID" localSheetId="6">#REF!</definedName>
    <definedName name="REPORT_ID" localSheetId="4">#REF!</definedName>
    <definedName name="REPORT_ID" localSheetId="3">#REF!</definedName>
    <definedName name="REPORT_ID">#REF!</definedName>
    <definedName name="Retail_Hedges">#REF!</definedName>
    <definedName name="Retail_Sweeps">#REF!</definedName>
    <definedName name="REV_EXP" localSheetId="6">#REF!</definedName>
    <definedName name="REV_EXP" localSheetId="4">#REF!</definedName>
    <definedName name="REV_EXP" localSheetId="3">#REF!</definedName>
    <definedName name="REV_EXP">#REF!</definedName>
    <definedName name="rev_last1" localSheetId="2">OFFSET(#REF!,#REF!,0,#REF!,1)</definedName>
    <definedName name="rev_last1">OFFSET(#REF!,#REF!,0,#REF!,1)</definedName>
    <definedName name="rev_last2" localSheetId="2">OFFSET(#REF!,#REF!,0,#REF!,1)</definedName>
    <definedName name="rev_last2">OFFSET(#REF!,#REF!,0,#REF!,1)</definedName>
    <definedName name="rev_now" localSheetId="2">OFFSET(#REF!,#REF!,0,#REF!,1)</definedName>
    <definedName name="rev_now">OFFSET(#REF!,#REF!,0,#REF!,1)</definedName>
    <definedName name="REVENUE">#REF!</definedName>
    <definedName name="ROC_Costs">#REF!</definedName>
    <definedName name="run_date" localSheetId="6">#REF!</definedName>
    <definedName name="run_date" localSheetId="4">#REF!</definedName>
    <definedName name="run_date" localSheetId="3">#REF!</definedName>
    <definedName name="run_date">#REF!</definedName>
    <definedName name="Sale_of_Electricity">#REF!</definedName>
    <definedName name="SALES" localSheetId="6">#REF!</definedName>
    <definedName name="SALES" localSheetId="4">#REF!</definedName>
    <definedName name="SALES" localSheetId="3">#REF!</definedName>
    <definedName name="SALES">#REF!</definedName>
    <definedName name="Scale">1000</definedName>
    <definedName name="SCD" localSheetId="6">#REF!</definedName>
    <definedName name="SCD" localSheetId="4">#REF!</definedName>
    <definedName name="SCD" localSheetId="3">#REF!</definedName>
    <definedName name="SCD">#REF!</definedName>
    <definedName name="Sched1.50.0">#REF!</definedName>
    <definedName name="Sched1.50.1">#REF!</definedName>
    <definedName name="Sched1.51.0">#REF!</definedName>
    <definedName name="Sched1.51.1">#REF!</definedName>
    <definedName name="Sched1.51.2">#REF!</definedName>
    <definedName name="Sched1.51.3">#REF!</definedName>
    <definedName name="Sched1.51.4">#REF!</definedName>
    <definedName name="Sched1.51.5">#REF!</definedName>
    <definedName name="Sched1.52.0">#REF!</definedName>
    <definedName name="Sched1.53.0">#REF!</definedName>
    <definedName name="Sched1.54.0">#REF!</definedName>
    <definedName name="Sched1.56.0">#REF!</definedName>
    <definedName name="Sched1.57.0">#REF!</definedName>
    <definedName name="SCHEDULE">#REF!</definedName>
    <definedName name="SCOPE" localSheetId="6">#REF!</definedName>
    <definedName name="SCOPE" localSheetId="4">#REF!</definedName>
    <definedName name="SCOPE" localSheetId="3">#REF!</definedName>
    <definedName name="SCOPE">#REF!</definedName>
    <definedName name="SCURR">#REF!</definedName>
    <definedName name="SERVICES" localSheetId="6">#REF!</definedName>
    <definedName name="SERVICES" localSheetId="4">#REF!</definedName>
    <definedName name="SERVICES" localSheetId="3">#REF!</definedName>
    <definedName name="SERVICES">#REF!</definedName>
    <definedName name="SEVERENCES" localSheetId="6">#REF!</definedName>
    <definedName name="SEVERENCES" localSheetId="4">#REF!</definedName>
    <definedName name="SEVERENCES" localSheetId="3">#REF!</definedName>
    <definedName name="SEVERENCES">#REF!</definedName>
    <definedName name="SFD">#REF!</definedName>
    <definedName name="SFV" localSheetId="6">#REF!</definedName>
    <definedName name="SFV" localSheetId="4">#REF!</definedName>
    <definedName name="SFV" localSheetId="3">#REF!</definedName>
    <definedName name="SFV">#REF!</definedName>
    <definedName name="SHAREFUNDS" localSheetId="6">#REF!</definedName>
    <definedName name="SHAREFUNDS" localSheetId="4">#REF!</definedName>
    <definedName name="SHAREFUNDS" localSheetId="3">#REF!</definedName>
    <definedName name="SHAREFUNDS">#REF!</definedName>
    <definedName name="SHORTER" localSheetId="6">#REF!</definedName>
    <definedName name="SHORTER" localSheetId="4">#REF!</definedName>
    <definedName name="SHORTER" localSheetId="3">#REF!</definedName>
    <definedName name="SHORTER">#REF!</definedName>
    <definedName name="Shout">#REF!</definedName>
    <definedName name="SPRIOR">#REF!</definedName>
    <definedName name="SRES">#REF!</definedName>
    <definedName name="Staff_Costs">#REF!</definedName>
    <definedName name="Start">#REF!</definedName>
    <definedName name="STATISTICS">#REF!</definedName>
    <definedName name="Sub_Input">#REF!</definedName>
    <definedName name="Sub_Input_Title">#REF!</definedName>
    <definedName name="SwapAmt">#REF!</definedName>
    <definedName name="SwapMTM">#REF!</definedName>
    <definedName name="SwapRate">#REF!</definedName>
    <definedName name="SYTD">#REF!</definedName>
    <definedName name="TAX">#REF!</definedName>
    <definedName name="Tax_Calc">#REF!</definedName>
    <definedName name="Tax_Calc2" localSheetId="6">#REF!</definedName>
    <definedName name="Tax_Calc2" localSheetId="4">#REF!</definedName>
    <definedName name="Tax_Calc2" localSheetId="3">#REF!</definedName>
    <definedName name="Tax_Calc2">#REF!</definedName>
    <definedName name="Taxation">#REF!</definedName>
    <definedName name="Taxation_Expense">#REF!</definedName>
    <definedName name="TaxCredits">#REF!</definedName>
    <definedName name="TaxDepn1">#REF!</definedName>
    <definedName name="TaxDepn2">#REF!</definedName>
    <definedName name="TaxDepn3">#REF!</definedName>
    <definedName name="TaxDepn4">#REF!</definedName>
    <definedName name="TaxDepn5">#REF!</definedName>
    <definedName name="taxp">#REF!</definedName>
    <definedName name="TERMLIAB" localSheetId="6">#REF!</definedName>
    <definedName name="TERMLIAB" localSheetId="4">#REF!</definedName>
    <definedName name="TERMLIAB" localSheetId="3">#REF!</definedName>
    <definedName name="TERMLIAB">#REF!</definedName>
    <definedName name="ThresholdA">#REF!</definedName>
    <definedName name="ThresholdAA">#REF!</definedName>
    <definedName name="ThresholdAAA">#REF!</definedName>
    <definedName name="ThresholdB">#REF!</definedName>
    <definedName name="ThresholdBB">#REF!</definedName>
    <definedName name="ThresholdBBB">#REF!</definedName>
    <definedName name="ThresholdCCC">#REF!</definedName>
    <definedName name="TIMING_DIFFERENCES">#REF!</definedName>
    <definedName name="TOTAL_ALL_EXPENSES">#REF!</definedName>
    <definedName name="TOTAL_EXPENSES">#REF!</definedName>
    <definedName name="TOTAL_PERMANENT_DIFFERENCES">#REF!</definedName>
    <definedName name="TOTAL_REVENUE">#REF!</definedName>
    <definedName name="TOTAL_ROC_COSTS">#REF!</definedName>
    <definedName name="TOTAL_TIMING_DIFFERENCES">#REF!</definedName>
    <definedName name="trans_table_save">#REF!</definedName>
    <definedName name="trans_table_save_ytd">#REF!</definedName>
    <definedName name="Transalta">#REF!</definedName>
    <definedName name="transmission_table">#REF!</definedName>
    <definedName name="transmission_table_ytd">#REF!</definedName>
    <definedName name="Transpower___HVDC">#REF!</definedName>
    <definedName name="Transpower___Tiwai">#REF!</definedName>
    <definedName name="Transpower_HVDC___GST_on_Unpiad_invoices">#REF!</definedName>
    <definedName name="Transpower_HVDC___P_L_Recogniton">#REF!</definedName>
    <definedName name="Transpower_HVDC___Scheduled_Payments">#REF!</definedName>
    <definedName name="Tstats">#REF!</definedName>
    <definedName name="US10yrTry">#REF!</definedName>
    <definedName name="USTB">#REF!</definedName>
    <definedName name="USTBVol">#REF!</definedName>
    <definedName name="USTSpreadVol">#REF!</definedName>
    <definedName name="Wages___PAYE">#REF!</definedName>
    <definedName name="WeightedAvg">#REF!</definedName>
    <definedName name="x" localSheetId="6">#REF!</definedName>
    <definedName name="x" localSheetId="4">#REF!</definedName>
    <definedName name="x" localSheetId="3">#REF!</definedName>
    <definedName name="x">#REF!</definedName>
    <definedName name="x_axis" localSheetId="2">OFFSET(#REF!,#REF!,0,#REF!,1)</definedName>
    <definedName name="x_axis">OFFSET(#REF!,#REF!,0,#REF!,1)</definedName>
    <definedName name="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3" i="9" l="1"/>
  <c r="D123" i="9"/>
  <c r="D124" i="15"/>
  <c r="D64" i="7"/>
  <c r="C117" i="11" l="1"/>
  <c r="H117" i="11"/>
  <c r="D117" i="11"/>
  <c r="E117" i="11"/>
  <c r="F117" i="11"/>
  <c r="G117" i="11"/>
  <c r="L117" i="7"/>
  <c r="K117" i="7"/>
  <c r="H117" i="7"/>
  <c r="G117" i="7"/>
  <c r="E117" i="7"/>
  <c r="C117" i="7"/>
  <c r="N123" i="9"/>
  <c r="M123" i="9"/>
  <c r="J123" i="9"/>
  <c r="I123" i="9"/>
  <c r="F123" i="9"/>
  <c r="G123" i="9"/>
  <c r="H124" i="15" l="1"/>
  <c r="I124" i="15"/>
  <c r="J124" i="15"/>
  <c r="K124" i="15"/>
  <c r="L124" i="15"/>
  <c r="M124" i="15"/>
  <c r="N124" i="15"/>
  <c r="O124" i="15"/>
  <c r="P124" i="15"/>
  <c r="G124" i="15"/>
  <c r="E124" i="15"/>
  <c r="E106" i="9" l="1"/>
  <c r="E107" i="9"/>
  <c r="E108" i="9"/>
  <c r="E109" i="9"/>
  <c r="E110" i="9"/>
  <c r="E111" i="9"/>
  <c r="E112" i="9"/>
  <c r="E118" i="9" l="1"/>
  <c r="E122" i="9"/>
  <c r="E114" i="9"/>
  <c r="E115" i="9"/>
  <c r="E116" i="9"/>
  <c r="E117" i="9"/>
  <c r="E119" i="9"/>
  <c r="E120" i="9"/>
  <c r="E121" i="9"/>
  <c r="E113" i="9"/>
  <c r="C114" i="11"/>
  <c r="D114" i="11"/>
  <c r="E114" i="11"/>
  <c r="F114" i="11"/>
  <c r="G114" i="11"/>
  <c r="H114" i="11"/>
  <c r="C115" i="11"/>
  <c r="D115" i="11"/>
  <c r="E115" i="11"/>
  <c r="F115" i="11"/>
  <c r="G115" i="11"/>
  <c r="H115" i="11"/>
  <c r="C116" i="11"/>
  <c r="D116" i="11"/>
  <c r="E116" i="11"/>
  <c r="F116" i="11"/>
  <c r="G116" i="11"/>
  <c r="H116" i="11"/>
  <c r="D113" i="11"/>
  <c r="E113" i="11"/>
  <c r="F113" i="11"/>
  <c r="G113" i="11"/>
  <c r="H113" i="11"/>
  <c r="K115" i="7"/>
  <c r="L115" i="7"/>
  <c r="K116" i="7"/>
  <c r="L116" i="7"/>
  <c r="G115" i="7"/>
  <c r="H115" i="7"/>
  <c r="G116" i="7"/>
  <c r="H116" i="7"/>
  <c r="E115" i="7"/>
  <c r="E116" i="7"/>
  <c r="E114" i="7"/>
  <c r="G114" i="7"/>
  <c r="H114" i="7"/>
  <c r="J114" i="7"/>
  <c r="K114" i="7"/>
  <c r="L114" i="7"/>
  <c r="C114" i="7"/>
  <c r="C115" i="7"/>
  <c r="C116" i="7"/>
  <c r="D121" i="9"/>
  <c r="F121" i="9"/>
  <c r="G121" i="9"/>
  <c r="I121" i="9"/>
  <c r="J121" i="9"/>
  <c r="M121" i="9"/>
  <c r="N121" i="9"/>
  <c r="D122" i="9"/>
  <c r="F122" i="9"/>
  <c r="G122" i="9"/>
  <c r="I122" i="9"/>
  <c r="J122" i="9"/>
  <c r="M122" i="9"/>
  <c r="N122" i="9"/>
  <c r="H122" i="15"/>
  <c r="I122" i="15"/>
  <c r="J122" i="15"/>
  <c r="K122" i="15"/>
  <c r="L122" i="15"/>
  <c r="M122" i="15"/>
  <c r="N122" i="15"/>
  <c r="O122" i="15"/>
  <c r="P122" i="15"/>
  <c r="G56" i="15"/>
  <c r="G122" i="15" s="1"/>
  <c r="E121" i="15"/>
  <c r="E122" i="15"/>
  <c r="D121" i="15"/>
  <c r="D122" i="15"/>
  <c r="D123" i="15"/>
  <c r="G121" i="15" l="1"/>
  <c r="H121" i="15"/>
  <c r="I121" i="15"/>
  <c r="J121" i="15"/>
  <c r="K121" i="15"/>
  <c r="L121" i="15"/>
  <c r="M121" i="15"/>
  <c r="N121" i="15"/>
  <c r="O121" i="15"/>
  <c r="P121" i="15"/>
  <c r="D120" i="9"/>
  <c r="F120" i="9"/>
  <c r="G120" i="9"/>
  <c r="I120" i="9"/>
  <c r="J120" i="9"/>
  <c r="M120" i="9"/>
  <c r="N120" i="9"/>
  <c r="J53" i="7"/>
  <c r="E123" i="15"/>
  <c r="H123" i="15"/>
  <c r="I123" i="15"/>
  <c r="J123" i="15"/>
  <c r="K123" i="15"/>
  <c r="L123" i="15"/>
  <c r="M123" i="15"/>
  <c r="N123" i="15"/>
  <c r="O123" i="15"/>
  <c r="P123" i="15"/>
  <c r="G123" i="15" l="1"/>
  <c r="K113" i="7"/>
  <c r="K112" i="7"/>
  <c r="K111" i="7"/>
  <c r="K110" i="7"/>
  <c r="K109" i="7"/>
  <c r="K108" i="7"/>
  <c r="K107" i="7"/>
  <c r="K106" i="7"/>
  <c r="K105" i="7"/>
  <c r="K104" i="7"/>
  <c r="K103" i="7"/>
  <c r="K102" i="7"/>
  <c r="K101" i="7"/>
  <c r="K100" i="7"/>
  <c r="K99" i="7"/>
  <c r="K98" i="7"/>
  <c r="K97" i="7"/>
  <c r="D119" i="9" l="1"/>
  <c r="F119" i="9"/>
  <c r="G119" i="9"/>
  <c r="I119" i="9"/>
  <c r="J119" i="9"/>
  <c r="M119" i="9"/>
  <c r="N119" i="9"/>
  <c r="C113" i="11"/>
  <c r="C113" i="7"/>
  <c r="D113" i="7"/>
  <c r="E113" i="7"/>
  <c r="G113" i="7"/>
  <c r="H113" i="7"/>
  <c r="J113" i="7"/>
  <c r="L113" i="7"/>
  <c r="P120" i="15"/>
  <c r="O120" i="15"/>
  <c r="N120" i="15"/>
  <c r="M120" i="15"/>
  <c r="L120" i="15"/>
  <c r="K120" i="15"/>
  <c r="J120" i="15"/>
  <c r="I120" i="15"/>
  <c r="H120" i="15"/>
  <c r="G120" i="15"/>
  <c r="E120" i="15"/>
  <c r="D120" i="15"/>
  <c r="J112" i="7"/>
  <c r="D119" i="15"/>
  <c r="O53" i="15"/>
  <c r="G119" i="15"/>
  <c r="G118" i="15"/>
  <c r="C112" i="11" l="1"/>
  <c r="D112" i="11"/>
  <c r="E112" i="11"/>
  <c r="F112" i="11"/>
  <c r="G112" i="11"/>
  <c r="H112" i="11"/>
  <c r="C112" i="7"/>
  <c r="D112" i="7"/>
  <c r="E112" i="7"/>
  <c r="G112" i="7"/>
  <c r="H112" i="7"/>
  <c r="L112" i="7"/>
  <c r="N118" i="9"/>
  <c r="M118" i="9"/>
  <c r="J118" i="9"/>
  <c r="I118" i="9"/>
  <c r="G118" i="9"/>
  <c r="F118" i="9"/>
  <c r="D118" i="9"/>
  <c r="D117" i="9"/>
  <c r="P119" i="15"/>
  <c r="O119" i="15"/>
  <c r="N119" i="15"/>
  <c r="M119" i="15"/>
  <c r="L119" i="15"/>
  <c r="K119" i="15"/>
  <c r="J119" i="15"/>
  <c r="I119" i="15"/>
  <c r="H119" i="15"/>
  <c r="E119" i="15"/>
  <c r="D118" i="15" l="1"/>
  <c r="E118" i="15"/>
  <c r="H118" i="15"/>
  <c r="I118" i="15"/>
  <c r="J118" i="15"/>
  <c r="K118" i="15"/>
  <c r="L118" i="15"/>
  <c r="M118" i="15"/>
  <c r="N118" i="15"/>
  <c r="O118" i="15"/>
  <c r="P118" i="15"/>
  <c r="H111" i="11" l="1"/>
  <c r="G111" i="11"/>
  <c r="F111" i="11"/>
  <c r="E111" i="11"/>
  <c r="D111" i="11"/>
  <c r="C111" i="11"/>
  <c r="N117" i="9"/>
  <c r="M117" i="9"/>
  <c r="J117" i="9"/>
  <c r="I117" i="9"/>
  <c r="G117" i="9"/>
  <c r="F117" i="9"/>
  <c r="L111" i="7" l="1"/>
  <c r="J111" i="7"/>
  <c r="H111" i="7"/>
  <c r="G111" i="7"/>
  <c r="E111" i="7"/>
  <c r="D111" i="7"/>
  <c r="C111" i="7"/>
  <c r="D117" i="15" l="1"/>
  <c r="G27" i="15" l="1"/>
  <c r="G93" i="15" s="1"/>
  <c r="K27" i="15"/>
  <c r="K93" i="15" s="1"/>
  <c r="G28" i="15"/>
  <c r="G94" i="15" s="1"/>
  <c r="G29" i="15"/>
  <c r="G95" i="15" s="1"/>
  <c r="C71" i="15"/>
  <c r="G71" i="15"/>
  <c r="H71" i="15"/>
  <c r="I71" i="15"/>
  <c r="J71" i="15"/>
  <c r="K71" i="15"/>
  <c r="L71" i="15"/>
  <c r="M71" i="15"/>
  <c r="N71" i="15"/>
  <c r="O71" i="15"/>
  <c r="P71" i="15"/>
  <c r="C72" i="15"/>
  <c r="G72" i="15"/>
  <c r="H72" i="15"/>
  <c r="I72" i="15"/>
  <c r="J72" i="15"/>
  <c r="K72" i="15"/>
  <c r="L72" i="15"/>
  <c r="M72" i="15"/>
  <c r="N72" i="15"/>
  <c r="O72" i="15"/>
  <c r="P72" i="15"/>
  <c r="C73" i="15"/>
  <c r="G73" i="15"/>
  <c r="H73" i="15"/>
  <c r="I73" i="15"/>
  <c r="J73" i="15"/>
  <c r="K73" i="15"/>
  <c r="L73" i="15"/>
  <c r="M73" i="15"/>
  <c r="N73" i="15"/>
  <c r="O73" i="15"/>
  <c r="P73" i="15"/>
  <c r="C74" i="15"/>
  <c r="G74" i="15"/>
  <c r="H74" i="15"/>
  <c r="I74" i="15"/>
  <c r="J74" i="15"/>
  <c r="K74" i="15"/>
  <c r="L74" i="15"/>
  <c r="M74" i="15"/>
  <c r="N74" i="15"/>
  <c r="O74" i="15"/>
  <c r="P74" i="15"/>
  <c r="C75" i="15"/>
  <c r="G75" i="15"/>
  <c r="H75" i="15"/>
  <c r="I75" i="15"/>
  <c r="J75" i="15"/>
  <c r="K75" i="15"/>
  <c r="L75" i="15"/>
  <c r="M75" i="15"/>
  <c r="N75" i="15"/>
  <c r="O75" i="15"/>
  <c r="P75" i="15"/>
  <c r="C76" i="15"/>
  <c r="G76" i="15"/>
  <c r="H76" i="15"/>
  <c r="I76" i="15"/>
  <c r="J76" i="15"/>
  <c r="K76" i="15"/>
  <c r="L76" i="15"/>
  <c r="M76" i="15"/>
  <c r="N76" i="15"/>
  <c r="O76" i="15"/>
  <c r="P76" i="15"/>
  <c r="C77" i="15"/>
  <c r="G77" i="15"/>
  <c r="H77" i="15"/>
  <c r="I77" i="15"/>
  <c r="J77" i="15"/>
  <c r="K77" i="15"/>
  <c r="L77" i="15"/>
  <c r="M77" i="15"/>
  <c r="N77" i="15"/>
  <c r="O77" i="15"/>
  <c r="P77" i="15"/>
  <c r="C78" i="15"/>
  <c r="G78" i="15"/>
  <c r="H78" i="15"/>
  <c r="I78" i="15"/>
  <c r="J78" i="15"/>
  <c r="K78" i="15"/>
  <c r="L78" i="15"/>
  <c r="M78" i="15"/>
  <c r="N78" i="15"/>
  <c r="O78" i="15"/>
  <c r="P78" i="15"/>
  <c r="C79" i="15"/>
  <c r="G79" i="15"/>
  <c r="H79" i="15"/>
  <c r="I79" i="15"/>
  <c r="J79" i="15"/>
  <c r="K79" i="15"/>
  <c r="L79" i="15"/>
  <c r="M79" i="15"/>
  <c r="N79" i="15"/>
  <c r="O79" i="15"/>
  <c r="P79" i="15"/>
  <c r="C80" i="15"/>
  <c r="G80" i="15"/>
  <c r="H80" i="15"/>
  <c r="I80" i="15"/>
  <c r="J80" i="15"/>
  <c r="K80" i="15"/>
  <c r="L80" i="15"/>
  <c r="M80" i="15"/>
  <c r="N80" i="15"/>
  <c r="O80" i="15"/>
  <c r="P80" i="15"/>
  <c r="C81" i="15"/>
  <c r="G81" i="15"/>
  <c r="H81" i="15"/>
  <c r="I81" i="15"/>
  <c r="J81" i="15"/>
  <c r="K81" i="15"/>
  <c r="L81" i="15"/>
  <c r="M81" i="15"/>
  <c r="N81" i="15"/>
  <c r="O81" i="15"/>
  <c r="P81" i="15"/>
  <c r="C82" i="15"/>
  <c r="G82" i="15"/>
  <c r="H82" i="15"/>
  <c r="I82" i="15"/>
  <c r="J82" i="15"/>
  <c r="K82" i="15"/>
  <c r="L82" i="15"/>
  <c r="M82" i="15"/>
  <c r="N82" i="15"/>
  <c r="O82" i="15"/>
  <c r="P82" i="15"/>
  <c r="C83" i="15"/>
  <c r="G83" i="15"/>
  <c r="H83" i="15"/>
  <c r="I83" i="15"/>
  <c r="J83" i="15"/>
  <c r="K83" i="15"/>
  <c r="L83" i="15"/>
  <c r="M83" i="15"/>
  <c r="N83" i="15"/>
  <c r="O83" i="15"/>
  <c r="P83" i="15"/>
  <c r="C84" i="15"/>
  <c r="G84" i="15"/>
  <c r="H84" i="15"/>
  <c r="I84" i="15"/>
  <c r="J84" i="15"/>
  <c r="K84" i="15"/>
  <c r="L84" i="15"/>
  <c r="M84" i="15"/>
  <c r="N84" i="15"/>
  <c r="O84" i="15"/>
  <c r="P84" i="15"/>
  <c r="C85" i="15"/>
  <c r="G85" i="15"/>
  <c r="H85" i="15"/>
  <c r="I85" i="15"/>
  <c r="J85" i="15"/>
  <c r="K85" i="15"/>
  <c r="L85" i="15"/>
  <c r="M85" i="15"/>
  <c r="N85" i="15"/>
  <c r="O85" i="15"/>
  <c r="P85" i="15"/>
  <c r="C86" i="15"/>
  <c r="G86" i="15"/>
  <c r="H86" i="15"/>
  <c r="I86" i="15"/>
  <c r="J86" i="15"/>
  <c r="K86" i="15"/>
  <c r="L86" i="15"/>
  <c r="M86" i="15"/>
  <c r="N86" i="15"/>
  <c r="O86" i="15"/>
  <c r="P86" i="15"/>
  <c r="C87" i="15"/>
  <c r="G87" i="15"/>
  <c r="H87" i="15"/>
  <c r="I87" i="15"/>
  <c r="J87" i="15"/>
  <c r="K87" i="15"/>
  <c r="L87" i="15"/>
  <c r="M87" i="15"/>
  <c r="N87" i="15"/>
  <c r="O87" i="15"/>
  <c r="P87" i="15"/>
  <c r="C88" i="15"/>
  <c r="G88" i="15"/>
  <c r="H88" i="15"/>
  <c r="I88" i="15"/>
  <c r="J88" i="15"/>
  <c r="K88" i="15"/>
  <c r="L88" i="15"/>
  <c r="M88" i="15"/>
  <c r="N88" i="15"/>
  <c r="O88" i="15"/>
  <c r="P88" i="15"/>
  <c r="C89" i="15"/>
  <c r="G89" i="15"/>
  <c r="H89" i="15"/>
  <c r="I89" i="15"/>
  <c r="J89" i="15"/>
  <c r="K89" i="15"/>
  <c r="L89" i="15"/>
  <c r="M89" i="15"/>
  <c r="N89" i="15"/>
  <c r="O89" i="15"/>
  <c r="P89" i="15"/>
  <c r="C90" i="15"/>
  <c r="G90" i="15"/>
  <c r="H90" i="15"/>
  <c r="I90" i="15"/>
  <c r="J90" i="15"/>
  <c r="K90" i="15"/>
  <c r="L90" i="15"/>
  <c r="M90" i="15"/>
  <c r="N90" i="15"/>
  <c r="O90" i="15"/>
  <c r="P90" i="15"/>
  <c r="C91" i="15"/>
  <c r="G91" i="15"/>
  <c r="H91" i="15"/>
  <c r="I91" i="15"/>
  <c r="J91" i="15"/>
  <c r="K91" i="15"/>
  <c r="L91" i="15"/>
  <c r="M91" i="15"/>
  <c r="N91" i="15"/>
  <c r="O91" i="15"/>
  <c r="P91" i="15"/>
  <c r="C92" i="15"/>
  <c r="G92" i="15"/>
  <c r="H92" i="15"/>
  <c r="I92" i="15"/>
  <c r="J92" i="15"/>
  <c r="K92" i="15"/>
  <c r="L92" i="15"/>
  <c r="M92" i="15"/>
  <c r="N92" i="15"/>
  <c r="O92" i="15"/>
  <c r="P92" i="15"/>
  <c r="D93" i="15"/>
  <c r="H93" i="15"/>
  <c r="I93" i="15"/>
  <c r="J93" i="15"/>
  <c r="L93" i="15"/>
  <c r="M93" i="15"/>
  <c r="N93" i="15"/>
  <c r="O93" i="15"/>
  <c r="P93" i="15"/>
  <c r="Q93" i="15"/>
  <c r="D94" i="15"/>
  <c r="H94" i="15"/>
  <c r="I94" i="15"/>
  <c r="J94" i="15"/>
  <c r="K94" i="15"/>
  <c r="L94" i="15"/>
  <c r="M94" i="15"/>
  <c r="N94" i="15"/>
  <c r="O94" i="15"/>
  <c r="P94" i="15"/>
  <c r="Q94" i="15"/>
  <c r="D95" i="15"/>
  <c r="H95" i="15"/>
  <c r="I95" i="15"/>
  <c r="J95" i="15"/>
  <c r="K95" i="15"/>
  <c r="L95" i="15"/>
  <c r="M95" i="15"/>
  <c r="N95" i="15"/>
  <c r="O95" i="15"/>
  <c r="P95" i="15"/>
  <c r="Q95" i="15"/>
  <c r="D96" i="15"/>
  <c r="E96" i="15"/>
  <c r="G96" i="15"/>
  <c r="H96" i="15"/>
  <c r="I96" i="15"/>
  <c r="J96" i="15"/>
  <c r="K96" i="15"/>
  <c r="L96" i="15"/>
  <c r="M96" i="15"/>
  <c r="N96" i="15"/>
  <c r="O96" i="15"/>
  <c r="P96" i="15"/>
  <c r="D97" i="15"/>
  <c r="E97" i="15"/>
  <c r="G97" i="15"/>
  <c r="H97" i="15"/>
  <c r="I97" i="15"/>
  <c r="J97" i="15"/>
  <c r="K97" i="15"/>
  <c r="L97" i="15"/>
  <c r="M97" i="15"/>
  <c r="N97" i="15"/>
  <c r="O97" i="15"/>
  <c r="P97" i="15"/>
  <c r="D98" i="15"/>
  <c r="E98" i="15"/>
  <c r="G98" i="15"/>
  <c r="H98" i="15"/>
  <c r="I98" i="15"/>
  <c r="J98" i="15"/>
  <c r="K98" i="15"/>
  <c r="L98" i="15"/>
  <c r="M98" i="15"/>
  <c r="N98" i="15"/>
  <c r="O98" i="15"/>
  <c r="P98" i="15"/>
  <c r="D99" i="15"/>
  <c r="E99" i="15"/>
  <c r="G99" i="15"/>
  <c r="H99" i="15"/>
  <c r="I99" i="15"/>
  <c r="J99" i="15"/>
  <c r="K99" i="15"/>
  <c r="L99" i="15"/>
  <c r="M99" i="15"/>
  <c r="N99" i="15"/>
  <c r="O99" i="15"/>
  <c r="P99" i="15"/>
  <c r="D100" i="15"/>
  <c r="E100" i="15"/>
  <c r="G100" i="15"/>
  <c r="H100" i="15"/>
  <c r="I100" i="15"/>
  <c r="J100" i="15"/>
  <c r="K100" i="15"/>
  <c r="L100" i="15"/>
  <c r="M100" i="15"/>
  <c r="N100" i="15"/>
  <c r="O100" i="15"/>
  <c r="P100" i="15"/>
  <c r="D101" i="15"/>
  <c r="E101" i="15"/>
  <c r="G101" i="15"/>
  <c r="H101" i="15"/>
  <c r="I101" i="15"/>
  <c r="J101" i="15"/>
  <c r="K101" i="15"/>
  <c r="L101" i="15"/>
  <c r="M101" i="15"/>
  <c r="N101" i="15"/>
  <c r="O101" i="15"/>
  <c r="P101" i="15"/>
  <c r="D102" i="15"/>
  <c r="E102" i="15"/>
  <c r="G102" i="15"/>
  <c r="H102" i="15"/>
  <c r="I102" i="15"/>
  <c r="J102" i="15"/>
  <c r="K102" i="15"/>
  <c r="L102" i="15"/>
  <c r="M102" i="15"/>
  <c r="N102" i="15"/>
  <c r="O102" i="15"/>
  <c r="P102" i="15"/>
  <c r="D103" i="15"/>
  <c r="E103" i="15"/>
  <c r="G103" i="15"/>
  <c r="H103" i="15"/>
  <c r="I103" i="15"/>
  <c r="J103" i="15"/>
  <c r="K103" i="15"/>
  <c r="L103" i="15"/>
  <c r="M103" i="15"/>
  <c r="N103" i="15"/>
  <c r="O103" i="15"/>
  <c r="P103" i="15"/>
  <c r="D104" i="15"/>
  <c r="E104" i="15"/>
  <c r="G104" i="15"/>
  <c r="H104" i="15"/>
  <c r="I104" i="15"/>
  <c r="J104" i="15"/>
  <c r="K104" i="15"/>
  <c r="L104" i="15"/>
  <c r="M104" i="15"/>
  <c r="N104" i="15"/>
  <c r="O104" i="15"/>
  <c r="P104" i="15"/>
  <c r="D105" i="15"/>
  <c r="E105" i="15"/>
  <c r="G105" i="15"/>
  <c r="H105" i="15"/>
  <c r="I105" i="15"/>
  <c r="J105" i="15"/>
  <c r="K105" i="15"/>
  <c r="L105" i="15"/>
  <c r="M105" i="15"/>
  <c r="N105" i="15"/>
  <c r="O105" i="15"/>
  <c r="P105" i="15"/>
  <c r="D106" i="15"/>
  <c r="E106" i="15"/>
  <c r="G106" i="15"/>
  <c r="H106" i="15"/>
  <c r="I106" i="15"/>
  <c r="J106" i="15"/>
  <c r="K106" i="15"/>
  <c r="L106" i="15"/>
  <c r="M106" i="15"/>
  <c r="N106" i="15"/>
  <c r="O106" i="15"/>
  <c r="P106" i="15"/>
  <c r="D107" i="15"/>
  <c r="E107" i="15"/>
  <c r="G107" i="15"/>
  <c r="H107" i="15"/>
  <c r="I107" i="15"/>
  <c r="J107" i="15"/>
  <c r="K107" i="15"/>
  <c r="L107" i="15"/>
  <c r="M107" i="15"/>
  <c r="N107" i="15"/>
  <c r="O107" i="15"/>
  <c r="P107" i="15"/>
  <c r="D108" i="15"/>
  <c r="E108" i="15"/>
  <c r="G108" i="15"/>
  <c r="H108" i="15"/>
  <c r="I108" i="15"/>
  <c r="J108" i="15"/>
  <c r="K108" i="15"/>
  <c r="L108" i="15"/>
  <c r="M108" i="15"/>
  <c r="N108" i="15"/>
  <c r="O108" i="15"/>
  <c r="P108" i="15"/>
  <c r="D109" i="15"/>
  <c r="E109" i="15"/>
  <c r="G109" i="15"/>
  <c r="H109" i="15"/>
  <c r="I109" i="15"/>
  <c r="J109" i="15"/>
  <c r="K109" i="15"/>
  <c r="L109" i="15"/>
  <c r="M109" i="15"/>
  <c r="N109" i="15"/>
  <c r="O109" i="15"/>
  <c r="P109" i="15"/>
  <c r="D110" i="15"/>
  <c r="E110" i="15"/>
  <c r="G110" i="15"/>
  <c r="H110" i="15"/>
  <c r="I110" i="15"/>
  <c r="J110" i="15"/>
  <c r="K110" i="15"/>
  <c r="L110" i="15"/>
  <c r="M110" i="15"/>
  <c r="N110" i="15"/>
  <c r="O110" i="15"/>
  <c r="P110" i="15"/>
  <c r="D111" i="15"/>
  <c r="E111" i="15"/>
  <c r="G111" i="15"/>
  <c r="H111" i="15"/>
  <c r="I111" i="15"/>
  <c r="J111" i="15"/>
  <c r="K111" i="15"/>
  <c r="L111" i="15"/>
  <c r="M111" i="15"/>
  <c r="N111" i="15"/>
  <c r="O111" i="15"/>
  <c r="P111" i="15"/>
  <c r="D112" i="15"/>
  <c r="E112" i="15"/>
  <c r="G112" i="15"/>
  <c r="H112" i="15"/>
  <c r="I112" i="15"/>
  <c r="J112" i="15"/>
  <c r="K112" i="15"/>
  <c r="L112" i="15"/>
  <c r="M112" i="15"/>
  <c r="N112" i="15"/>
  <c r="O112" i="15"/>
  <c r="P112" i="15"/>
  <c r="D113" i="15"/>
  <c r="E113" i="15"/>
  <c r="G113" i="15"/>
  <c r="H113" i="15"/>
  <c r="I113" i="15"/>
  <c r="J113" i="15"/>
  <c r="K113" i="15"/>
  <c r="L113" i="15"/>
  <c r="M113" i="15"/>
  <c r="N113" i="15"/>
  <c r="O113" i="15"/>
  <c r="P113" i="15"/>
  <c r="D114" i="15"/>
  <c r="E114" i="15"/>
  <c r="G114" i="15"/>
  <c r="H114" i="15"/>
  <c r="I114" i="15"/>
  <c r="J114" i="15"/>
  <c r="K114" i="15"/>
  <c r="L114" i="15"/>
  <c r="M114" i="15"/>
  <c r="N114" i="15"/>
  <c r="O114" i="15"/>
  <c r="P114" i="15"/>
  <c r="D115" i="15"/>
  <c r="E115" i="15"/>
  <c r="G115" i="15"/>
  <c r="H115" i="15"/>
  <c r="I115" i="15"/>
  <c r="J115" i="15"/>
  <c r="K115" i="15"/>
  <c r="L115" i="15"/>
  <c r="M115" i="15"/>
  <c r="N115" i="15"/>
  <c r="O115" i="15"/>
  <c r="P115" i="15"/>
  <c r="D116" i="15"/>
  <c r="E116" i="15"/>
  <c r="G116" i="15"/>
  <c r="H116" i="15"/>
  <c r="I116" i="15"/>
  <c r="J116" i="15"/>
  <c r="K116" i="15"/>
  <c r="L116" i="15"/>
  <c r="M116" i="15"/>
  <c r="N116" i="15"/>
  <c r="O116" i="15"/>
  <c r="P116" i="15"/>
  <c r="E117" i="15"/>
  <c r="G117" i="15"/>
  <c r="H117" i="15"/>
  <c r="I117" i="15"/>
  <c r="J117" i="15"/>
  <c r="K117" i="15"/>
  <c r="L117" i="15"/>
  <c r="M117" i="15"/>
  <c r="N117" i="15"/>
  <c r="O117" i="15"/>
  <c r="P117" i="15"/>
  <c r="C109" i="11" l="1"/>
  <c r="D109" i="11"/>
  <c r="E109" i="11"/>
  <c r="F109" i="11"/>
  <c r="G109" i="11"/>
  <c r="H109" i="11"/>
  <c r="C110" i="11"/>
  <c r="D110" i="11"/>
  <c r="E110" i="11"/>
  <c r="F110" i="11"/>
  <c r="G110" i="11"/>
  <c r="H110" i="11"/>
  <c r="C109" i="7"/>
  <c r="D109" i="7"/>
  <c r="E109" i="7"/>
  <c r="G109" i="7"/>
  <c r="H109" i="7"/>
  <c r="J109" i="7"/>
  <c r="L109" i="7"/>
  <c r="C110" i="7"/>
  <c r="D110" i="7"/>
  <c r="E110" i="7"/>
  <c r="G110" i="7"/>
  <c r="H110" i="7"/>
  <c r="J110" i="7"/>
  <c r="L110" i="7"/>
  <c r="D116" i="9"/>
  <c r="F116" i="9"/>
  <c r="G116" i="9"/>
  <c r="I116" i="9"/>
  <c r="J116" i="9"/>
  <c r="M116" i="9"/>
  <c r="N116" i="9"/>
  <c r="D115" i="9"/>
  <c r="F115" i="9"/>
  <c r="G115" i="9"/>
  <c r="I115" i="9"/>
  <c r="J115" i="9"/>
  <c r="M115" i="9"/>
  <c r="N115" i="9"/>
  <c r="D114" i="9" l="1"/>
  <c r="F114" i="9"/>
  <c r="G114" i="9"/>
  <c r="I114" i="9"/>
  <c r="J114" i="9"/>
  <c r="M114" i="9"/>
  <c r="N114" i="9"/>
  <c r="C108" i="7"/>
  <c r="D108" i="7"/>
  <c r="E108" i="7"/>
  <c r="G108" i="7"/>
  <c r="H108" i="7"/>
  <c r="J108" i="7"/>
  <c r="L108" i="7"/>
  <c r="C108" i="11"/>
  <c r="D108" i="11"/>
  <c r="E108" i="11"/>
  <c r="F108" i="11"/>
  <c r="G108" i="11"/>
  <c r="H108" i="11"/>
  <c r="C107" i="11"/>
  <c r="C107" i="7"/>
  <c r="D113" i="9"/>
  <c r="D107" i="7"/>
  <c r="E107" i="7"/>
  <c r="G107" i="7"/>
  <c r="H107" i="7"/>
  <c r="J107" i="7"/>
  <c r="L107" i="7"/>
  <c r="F113" i="9"/>
  <c r="G113" i="9"/>
  <c r="I113" i="9"/>
  <c r="J113" i="9"/>
  <c r="M113" i="9"/>
  <c r="N113" i="9"/>
  <c r="D107" i="11"/>
  <c r="E107" i="11"/>
  <c r="F107" i="11"/>
  <c r="G107" i="11"/>
  <c r="H107" i="11"/>
  <c r="C106" i="11"/>
  <c r="C106" i="7"/>
  <c r="F112" i="9"/>
  <c r="D112" i="9"/>
  <c r="D106" i="11"/>
  <c r="E106" i="11"/>
  <c r="F106" i="11"/>
  <c r="G106" i="11"/>
  <c r="H106" i="11"/>
  <c r="C104" i="11"/>
  <c r="D104" i="11"/>
  <c r="E104" i="11"/>
  <c r="F104" i="11"/>
  <c r="G104" i="11"/>
  <c r="H104" i="11"/>
  <c r="C105" i="11"/>
  <c r="D105" i="11"/>
  <c r="E105" i="11"/>
  <c r="F105" i="11"/>
  <c r="G105" i="11"/>
  <c r="H105" i="11"/>
  <c r="C104" i="7"/>
  <c r="D104" i="7"/>
  <c r="E104" i="7"/>
  <c r="G104" i="7"/>
  <c r="H104" i="7"/>
  <c r="J104" i="7"/>
  <c r="L104" i="7"/>
  <c r="C105" i="7"/>
  <c r="D105" i="7"/>
  <c r="E105" i="7"/>
  <c r="G105" i="7"/>
  <c r="H105" i="7"/>
  <c r="J105" i="7"/>
  <c r="L105" i="7"/>
  <c r="D106" i="7"/>
  <c r="E106" i="7"/>
  <c r="G106" i="7"/>
  <c r="H106" i="7"/>
  <c r="J106" i="7"/>
  <c r="L106" i="7"/>
  <c r="D103" i="9"/>
  <c r="F103" i="9"/>
  <c r="G103" i="9"/>
  <c r="I103" i="9"/>
  <c r="J103" i="9"/>
  <c r="M103" i="9"/>
  <c r="N103" i="9"/>
  <c r="D104" i="9"/>
  <c r="F104" i="9"/>
  <c r="G104" i="9"/>
  <c r="I104" i="9"/>
  <c r="J104" i="9"/>
  <c r="M104" i="9"/>
  <c r="N104" i="9"/>
  <c r="D105" i="9"/>
  <c r="F105" i="9"/>
  <c r="G105" i="9"/>
  <c r="I105" i="9"/>
  <c r="J105" i="9"/>
  <c r="M105" i="9"/>
  <c r="N105" i="9"/>
  <c r="D106" i="9"/>
  <c r="F106" i="9"/>
  <c r="G106" i="9"/>
  <c r="I106" i="9"/>
  <c r="J106" i="9"/>
  <c r="M106" i="9"/>
  <c r="N106" i="9"/>
  <c r="D107" i="9"/>
  <c r="F107" i="9"/>
  <c r="G107" i="9"/>
  <c r="I107" i="9"/>
  <c r="J107" i="9"/>
  <c r="M107" i="9"/>
  <c r="N107" i="9"/>
  <c r="D108" i="9"/>
  <c r="F108" i="9"/>
  <c r="G108" i="9"/>
  <c r="I108" i="9"/>
  <c r="J108" i="9"/>
  <c r="M108" i="9"/>
  <c r="N108" i="9"/>
  <c r="D109" i="9"/>
  <c r="F109" i="9"/>
  <c r="G109" i="9"/>
  <c r="I109" i="9"/>
  <c r="J109" i="9"/>
  <c r="M109" i="9"/>
  <c r="N109" i="9"/>
  <c r="D110" i="9"/>
  <c r="F110" i="9"/>
  <c r="G110" i="9"/>
  <c r="I110" i="9"/>
  <c r="J110" i="9"/>
  <c r="M110" i="9"/>
  <c r="N110" i="9"/>
  <c r="D111" i="9"/>
  <c r="F111" i="9"/>
  <c r="G111" i="9"/>
  <c r="I111" i="9"/>
  <c r="J111" i="9"/>
  <c r="M111" i="9"/>
  <c r="N111" i="9"/>
  <c r="G112" i="9"/>
  <c r="I112" i="9"/>
  <c r="J112" i="9"/>
  <c r="M112" i="9"/>
  <c r="N112" i="9"/>
  <c r="H94" i="7"/>
  <c r="H103" i="7"/>
  <c r="H102" i="7"/>
  <c r="H101" i="7"/>
  <c r="H100" i="7"/>
  <c r="H99" i="7"/>
  <c r="H98" i="7"/>
  <c r="H97" i="7"/>
  <c r="H96" i="7"/>
  <c r="H95" i="7"/>
  <c r="C102" i="7"/>
  <c r="D102" i="7"/>
  <c r="E102" i="7"/>
  <c r="G102" i="7"/>
  <c r="J102" i="7"/>
  <c r="L102" i="7"/>
  <c r="C103" i="7"/>
  <c r="D103" i="7"/>
  <c r="E103" i="7"/>
  <c r="G103" i="7"/>
  <c r="J103" i="7"/>
  <c r="L103" i="7"/>
  <c r="C78" i="9"/>
  <c r="C79" i="9"/>
  <c r="C80" i="9"/>
  <c r="C81" i="9"/>
  <c r="C82" i="9"/>
  <c r="C83" i="9"/>
  <c r="C84" i="9"/>
  <c r="C71" i="9"/>
  <c r="C72" i="9"/>
  <c r="C73" i="9"/>
  <c r="C74" i="9"/>
  <c r="C75" i="9"/>
  <c r="G100" i="7"/>
  <c r="C99" i="7"/>
  <c r="G96" i="7"/>
  <c r="C95" i="7"/>
  <c r="F94" i="9"/>
  <c r="G103" i="11"/>
  <c r="F103" i="11"/>
  <c r="E103" i="11"/>
  <c r="C102" i="11"/>
  <c r="D102" i="11"/>
  <c r="E102" i="11"/>
  <c r="F102" i="11"/>
  <c r="G102" i="11"/>
  <c r="H102" i="11"/>
  <c r="L84" i="7"/>
  <c r="L85" i="7"/>
  <c r="L86" i="7"/>
  <c r="L87" i="7"/>
  <c r="L88" i="7"/>
  <c r="L89" i="7"/>
  <c r="L90" i="7"/>
  <c r="L91" i="7"/>
  <c r="L92" i="7"/>
  <c r="L93" i="7"/>
  <c r="L94" i="7"/>
  <c r="L95" i="7"/>
  <c r="L96" i="7"/>
  <c r="L97" i="7"/>
  <c r="L98" i="7"/>
  <c r="L99" i="7"/>
  <c r="L100" i="7"/>
  <c r="L101" i="7"/>
  <c r="D95" i="7"/>
  <c r="E95" i="7"/>
  <c r="G95" i="7"/>
  <c r="C96" i="7"/>
  <c r="D96" i="7"/>
  <c r="E96" i="7"/>
  <c r="J96" i="7"/>
  <c r="C97" i="7"/>
  <c r="D97" i="7"/>
  <c r="E97" i="7"/>
  <c r="G97" i="7"/>
  <c r="J97" i="7"/>
  <c r="C98" i="7"/>
  <c r="D98" i="7"/>
  <c r="E98" i="7"/>
  <c r="G98" i="7"/>
  <c r="J98" i="7"/>
  <c r="D99" i="7"/>
  <c r="E99" i="7"/>
  <c r="G99" i="7"/>
  <c r="C100" i="7"/>
  <c r="D100" i="7"/>
  <c r="E100" i="7"/>
  <c r="J100" i="7"/>
  <c r="C101" i="7"/>
  <c r="D101" i="7"/>
  <c r="E101" i="7"/>
  <c r="G101" i="7"/>
  <c r="J101" i="7"/>
  <c r="C99" i="11"/>
  <c r="E99" i="11"/>
  <c r="G99" i="11"/>
  <c r="H99" i="11"/>
  <c r="D100" i="11"/>
  <c r="E100" i="11"/>
  <c r="F100" i="11"/>
  <c r="H100" i="11"/>
  <c r="C101" i="11"/>
  <c r="D101" i="11"/>
  <c r="E101" i="11"/>
  <c r="F101" i="11"/>
  <c r="G101" i="11"/>
  <c r="H101" i="11"/>
  <c r="F99" i="11"/>
  <c r="F92" i="9"/>
  <c r="F93" i="9"/>
  <c r="E159" i="13"/>
  <c r="E157" i="13"/>
  <c r="E155" i="13"/>
  <c r="E153" i="13"/>
  <c r="E152" i="13"/>
  <c r="E151" i="13"/>
  <c r="E150" i="13"/>
  <c r="E149" i="13"/>
  <c r="E148" i="13"/>
  <c r="E147" i="13"/>
  <c r="E146" i="13"/>
  <c r="E145" i="13"/>
  <c r="E144" i="13"/>
  <c r="E82" i="7"/>
  <c r="E83" i="7"/>
  <c r="E84" i="7"/>
  <c r="E85" i="7"/>
  <c r="E65" i="7"/>
  <c r="E66" i="7"/>
  <c r="E67" i="7"/>
  <c r="E68" i="7"/>
  <c r="E69" i="7"/>
  <c r="E70" i="7"/>
  <c r="E71" i="7"/>
  <c r="E72" i="7"/>
  <c r="E73" i="7"/>
  <c r="E74" i="7"/>
  <c r="E75" i="7"/>
  <c r="E76" i="7"/>
  <c r="E77" i="7"/>
  <c r="E78" i="7"/>
  <c r="E79" i="7"/>
  <c r="E80" i="7"/>
  <c r="E81" i="7"/>
  <c r="E64" i="7"/>
  <c r="F94" i="11"/>
  <c r="F96" i="11"/>
  <c r="F97" i="11"/>
  <c r="F98" i="11"/>
  <c r="I94" i="9"/>
  <c r="I95" i="9"/>
  <c r="I96" i="9"/>
  <c r="I98" i="9"/>
  <c r="I99" i="9"/>
  <c r="I100" i="9"/>
  <c r="I102" i="9"/>
  <c r="I92" i="9"/>
  <c r="E94" i="11"/>
  <c r="G94" i="11"/>
  <c r="D94" i="11"/>
  <c r="H94" i="11"/>
  <c r="E95" i="11"/>
  <c r="G95" i="11"/>
  <c r="D95" i="11"/>
  <c r="E96" i="11"/>
  <c r="G96" i="11"/>
  <c r="D96" i="11"/>
  <c r="E97" i="11"/>
  <c r="G97" i="11"/>
  <c r="D97" i="11"/>
  <c r="H97" i="11"/>
  <c r="E98" i="11"/>
  <c r="G98" i="11"/>
  <c r="D98" i="11"/>
  <c r="H98" i="11"/>
  <c r="C95" i="11"/>
  <c r="C96" i="11"/>
  <c r="C97" i="11"/>
  <c r="C98" i="11"/>
  <c r="C94" i="11"/>
  <c r="J64" i="7"/>
  <c r="J65" i="7"/>
  <c r="J66" i="7"/>
  <c r="J67" i="7"/>
  <c r="J68" i="7"/>
  <c r="J69" i="7"/>
  <c r="J70" i="7"/>
  <c r="J71" i="7"/>
  <c r="J72" i="7"/>
  <c r="J73" i="7"/>
  <c r="J74" i="7"/>
  <c r="J75" i="7"/>
  <c r="J76" i="7"/>
  <c r="J77" i="7"/>
  <c r="J78" i="7"/>
  <c r="J79" i="7"/>
  <c r="J80" i="7"/>
  <c r="J81" i="7"/>
  <c r="J82" i="7"/>
  <c r="J83" i="7"/>
  <c r="J84" i="7"/>
  <c r="J85" i="7"/>
  <c r="D86" i="7"/>
  <c r="E86" i="7"/>
  <c r="G86" i="7"/>
  <c r="J86" i="7"/>
  <c r="E87" i="7"/>
  <c r="G87" i="7"/>
  <c r="J87" i="7"/>
  <c r="E88" i="7"/>
  <c r="G88" i="7"/>
  <c r="J88" i="7"/>
  <c r="D89" i="7"/>
  <c r="E89" i="7"/>
  <c r="G89" i="7"/>
  <c r="J89" i="7"/>
  <c r="D90" i="7"/>
  <c r="E90" i="7"/>
  <c r="G90" i="7"/>
  <c r="J90" i="7"/>
  <c r="E91" i="7"/>
  <c r="G91" i="7"/>
  <c r="J91" i="7"/>
  <c r="E92" i="7"/>
  <c r="G92" i="7"/>
  <c r="J92" i="7"/>
  <c r="D93" i="7"/>
  <c r="E93" i="7"/>
  <c r="G93" i="7"/>
  <c r="J93" i="7"/>
  <c r="D94" i="7"/>
  <c r="E94" i="7"/>
  <c r="G94" i="7"/>
  <c r="J94" i="7"/>
  <c r="D65" i="7"/>
  <c r="D66" i="7"/>
  <c r="D67" i="7"/>
  <c r="D68" i="7"/>
  <c r="D69" i="7"/>
  <c r="D70" i="7"/>
  <c r="D71" i="7"/>
  <c r="D72" i="7"/>
  <c r="D73" i="7"/>
  <c r="D74" i="7"/>
  <c r="D75" i="7"/>
  <c r="D76" i="7"/>
  <c r="D77" i="7"/>
  <c r="D78" i="7"/>
  <c r="D79" i="7"/>
  <c r="D80" i="7"/>
  <c r="D81" i="7"/>
  <c r="D82" i="7"/>
  <c r="D83" i="7"/>
  <c r="D84" i="7"/>
  <c r="D85" i="7"/>
  <c r="C86" i="7"/>
  <c r="C87" i="7"/>
  <c r="C88" i="7"/>
  <c r="C89" i="7"/>
  <c r="C90" i="7"/>
  <c r="C91" i="7"/>
  <c r="C92" i="7"/>
  <c r="C93" i="7"/>
  <c r="C94" i="7"/>
  <c r="I70" i="9"/>
  <c r="L70" i="9"/>
  <c r="I71" i="9"/>
  <c r="L71" i="9"/>
  <c r="I72" i="9"/>
  <c r="L72" i="9"/>
  <c r="I73" i="9"/>
  <c r="L73" i="9"/>
  <c r="I74" i="9"/>
  <c r="L74" i="9"/>
  <c r="I75" i="9"/>
  <c r="L75" i="9"/>
  <c r="I76" i="9"/>
  <c r="L76" i="9"/>
  <c r="I77" i="9"/>
  <c r="L77" i="9"/>
  <c r="I78" i="9"/>
  <c r="L78" i="9"/>
  <c r="I79" i="9"/>
  <c r="L79" i="9"/>
  <c r="I80" i="9"/>
  <c r="L80" i="9"/>
  <c r="I81" i="9"/>
  <c r="L81" i="9"/>
  <c r="I82" i="9"/>
  <c r="L82" i="9"/>
  <c r="I83" i="9"/>
  <c r="L83" i="9"/>
  <c r="I84" i="9"/>
  <c r="L84" i="9"/>
  <c r="I85" i="9"/>
  <c r="L85" i="9"/>
  <c r="I86" i="9"/>
  <c r="L86" i="9"/>
  <c r="I87" i="9"/>
  <c r="L87" i="9"/>
  <c r="I88" i="9"/>
  <c r="L88" i="9"/>
  <c r="I89" i="9"/>
  <c r="L89" i="9"/>
  <c r="I90" i="9"/>
  <c r="I91" i="9"/>
  <c r="L91" i="9"/>
  <c r="G92" i="9"/>
  <c r="D92" i="9"/>
  <c r="J92" i="9"/>
  <c r="M92" i="9"/>
  <c r="G93" i="9"/>
  <c r="J93" i="9"/>
  <c r="M93" i="9"/>
  <c r="G94" i="9"/>
  <c r="J94" i="9"/>
  <c r="M94" i="9"/>
  <c r="G95" i="9"/>
  <c r="D95" i="9"/>
  <c r="F95" i="9"/>
  <c r="J95" i="9"/>
  <c r="M95" i="9"/>
  <c r="N95" i="9"/>
  <c r="G96" i="9"/>
  <c r="D96" i="9"/>
  <c r="F96" i="9"/>
  <c r="J96" i="9"/>
  <c r="M96" i="9"/>
  <c r="N96" i="9"/>
  <c r="G97" i="9"/>
  <c r="F97" i="9"/>
  <c r="J97" i="9"/>
  <c r="M97" i="9"/>
  <c r="G98" i="9"/>
  <c r="D98" i="9"/>
  <c r="F98" i="9"/>
  <c r="M98" i="9"/>
  <c r="N98" i="9"/>
  <c r="G99" i="9"/>
  <c r="D99" i="9"/>
  <c r="F99" i="9"/>
  <c r="J99" i="9"/>
  <c r="M99" i="9"/>
  <c r="N99" i="9"/>
  <c r="G100" i="9"/>
  <c r="D100" i="9"/>
  <c r="F100" i="9"/>
  <c r="J100" i="9"/>
  <c r="M100" i="9"/>
  <c r="N100" i="9"/>
  <c r="G101" i="9"/>
  <c r="F101" i="9"/>
  <c r="J101" i="9"/>
  <c r="M101" i="9"/>
  <c r="G102" i="9"/>
  <c r="D102" i="9"/>
  <c r="F102" i="9"/>
  <c r="M102" i="9"/>
  <c r="N102" i="9"/>
  <c r="C76" i="9"/>
  <c r="C77" i="9"/>
  <c r="C85" i="9"/>
  <c r="C86" i="9"/>
  <c r="C87" i="9"/>
  <c r="C88" i="9"/>
  <c r="C89" i="9"/>
  <c r="C90" i="9"/>
  <c r="C91" i="9"/>
  <c r="C70" i="9"/>
  <c r="J102" i="9"/>
  <c r="N101" i="9"/>
  <c r="D101" i="9"/>
  <c r="J98" i="9"/>
  <c r="N97" i="9"/>
  <c r="D97" i="9"/>
  <c r="D94" i="9"/>
  <c r="D93" i="9"/>
  <c r="L90" i="9"/>
  <c r="D92" i="7"/>
  <c r="D91" i="7"/>
  <c r="D88" i="7"/>
  <c r="D87" i="7"/>
  <c r="H96" i="11"/>
  <c r="H95" i="11"/>
  <c r="I101" i="9"/>
  <c r="I97" i="9"/>
  <c r="I93" i="9"/>
  <c r="F95" i="11"/>
  <c r="G100" i="11"/>
  <c r="C100" i="11"/>
  <c r="D99" i="11"/>
  <c r="J99" i="7"/>
  <c r="J95" i="7"/>
  <c r="D103" i="11"/>
  <c r="H103" i="11"/>
  <c r="C103" i="11"/>
</calcChain>
</file>

<file path=xl/sharedStrings.xml><?xml version="1.0" encoding="utf-8"?>
<sst xmlns="http://schemas.openxmlformats.org/spreadsheetml/2006/main" count="321" uniqueCount="129">
  <si>
    <t>Fiscal Time Series Historical Indicators 1972 - 2025</t>
  </si>
  <si>
    <t>Update for Year End 30 June 2025</t>
  </si>
  <si>
    <t>Published by the Treasury at https://www.treasury.govt.nz/publications/information-release/data-fiscal-time-series-historical-fiscal-indicators</t>
  </si>
  <si>
    <t xml:space="preserve">Click on a group title to access an explanation of the series contained in that group. </t>
  </si>
  <si>
    <t>Series Descriptions</t>
  </si>
  <si>
    <t>Magnitude of difference in 1994 transition from cash to accrual</t>
  </si>
  <si>
    <t>Series</t>
  </si>
  <si>
    <t>Cash, GST inclusive</t>
  </si>
  <si>
    <t>Accrual (old-GAAP), GST exclusive</t>
  </si>
  <si>
    <t>Difference</t>
  </si>
  <si>
    <t>Notes</t>
  </si>
  <si>
    <t>Expenses by Function Classification</t>
  </si>
  <si>
    <t>Social security and welfare, GSF</t>
  </si>
  <si>
    <t>Health</t>
  </si>
  <si>
    <t>Education</t>
  </si>
  <si>
    <t>Core Government Services</t>
  </si>
  <si>
    <t>Law and order</t>
  </si>
  <si>
    <t>Defence</t>
  </si>
  <si>
    <t>Transport and communications</t>
  </si>
  <si>
    <t>Economic and Industrial Services</t>
  </si>
  <si>
    <t>Heritage, culture and recreation; Primary Services, Housing and community development, Other</t>
  </si>
  <si>
    <t>Relatively large difference due differences in functional classifications</t>
  </si>
  <si>
    <t>Finance costs</t>
  </si>
  <si>
    <t>Financial Net Expenditure (cash)/Core Crown Expenses (accrual)</t>
  </si>
  <si>
    <t>Adding FX net losses of $898m to sum of expenses by function gives core Crown Expenses.</t>
  </si>
  <si>
    <t>Cash Receipts (cash)/Core Crown  Revenue (accrual)</t>
  </si>
  <si>
    <t>Adjusted Financial Balance (cash)/Total Crown Operating Balance (accrual)</t>
  </si>
  <si>
    <t>A full line-by-line reconciliation of the Adjusted Financial Balance can be found in Table 1 on page 6 of the "Fiscal Time Series Explanatory Note".</t>
  </si>
  <si>
    <t>Sources</t>
  </si>
  <si>
    <t>Spending</t>
  </si>
  <si>
    <t>$ millions</t>
  </si>
  <si>
    <t>Core Crown Expense Classes</t>
  </si>
  <si>
    <t>Financial Net Expenditure</t>
  </si>
  <si>
    <t>Core Crown Expenses</t>
  </si>
  <si>
    <t>Total Crown Expenses</t>
  </si>
  <si>
    <t>Heritage, culture and recreation; Primary Services, Housing and community development, Environemntal protection, Other</t>
  </si>
  <si>
    <t>Net foreign exchange gains(-)/losses</t>
  </si>
  <si>
    <t>Cash, March Years</t>
  </si>
  <si>
    <t>1987†</t>
  </si>
  <si>
    <t>1988†</t>
  </si>
  <si>
    <t>1989†</t>
  </si>
  <si>
    <t>Cash, June Years</t>
  </si>
  <si>
    <t>1990†</t>
  </si>
  <si>
    <t>1991†</t>
  </si>
  <si>
    <t>1992†</t>
  </si>
  <si>
    <t>1993†</t>
  </si>
  <si>
    <t>old-GAAP</t>
  </si>
  <si>
    <t>1994*</t>
  </si>
  <si>
    <t>1995*</t>
  </si>
  <si>
    <t>1996*</t>
  </si>
  <si>
    <t>IFRS, June Years</t>
  </si>
  <si>
    <t>2001^</t>
  </si>
  <si>
    <t>2002^</t>
  </si>
  <si>
    <t>2003^</t>
  </si>
  <si>
    <t>2004^</t>
  </si>
  <si>
    <t>PBE Standards, June Years</t>
  </si>
  <si>
    <t>2005^</t>
  </si>
  <si>
    <t>2006^</t>
  </si>
  <si>
    <t>2007^</t>
  </si>
  <si>
    <t>2008^</t>
  </si>
  <si>
    <t>2009^</t>
  </si>
  <si>
    <t>2010^</t>
  </si>
  <si>
    <t>2011^</t>
  </si>
  <si>
    <t>2012^</t>
  </si>
  <si>
    <t>2013^</t>
  </si>
  <si>
    <t>2014^</t>
  </si>
  <si>
    <t>2015^</t>
  </si>
  <si>
    <t>2016^</t>
  </si>
  <si>
    <t>2017^</t>
  </si>
  <si>
    <t>2018^</t>
  </si>
  <si>
    <r>
      <t>2019^</t>
    </r>
    <r>
      <rPr>
        <vertAlign val="superscript"/>
        <sz val="10"/>
        <rFont val="Arial"/>
        <family val="2"/>
      </rPr>
      <t>#</t>
    </r>
  </si>
  <si>
    <t>2020</t>
  </si>
  <si>
    <t>* GAAP data for these years has not been backdated on IFRS basis</t>
  </si>
  <si>
    <t>† Data for these years inclusive of GST</t>
  </si>
  <si>
    <t>See</t>
  </si>
  <si>
    <t xml:space="preserve">magnitude of difference in 1994 in transition from cash to accrual </t>
  </si>
  <si>
    <r>
      <rPr>
        <vertAlign val="superscript"/>
        <sz val="10"/>
        <rFont val="Arial"/>
        <family val="2"/>
      </rPr>
      <t>1</t>
    </r>
    <r>
      <rPr>
        <sz val="10"/>
        <rFont val="Arial"/>
        <family val="2"/>
      </rPr>
      <t xml:space="preserve"> Includes Heritage, culture and recreation, primary services, Housing and Community devlopment; and environmental protection</t>
    </r>
  </si>
  <si>
    <t>^ Total Crown expenses have been restated to exclude Income Related Rent Subsidy expense between government reporting entities</t>
  </si>
  <si>
    <r>
      <rPr>
        <vertAlign val="superscript"/>
        <sz val="10"/>
        <rFont val="Arial"/>
        <family val="2"/>
      </rPr>
      <t>#</t>
    </r>
    <r>
      <rPr>
        <sz val="10"/>
        <rFont val="Arial"/>
        <family val="2"/>
      </rPr>
      <t xml:space="preserve"> 2019 results have been restated in the adoption of new PBE standards.  Further information can be found in note 28 of the 2019/20 financial statements of government.</t>
    </r>
  </si>
  <si>
    <t>% GDP</t>
  </si>
  <si>
    <t>Core government services</t>
  </si>
  <si>
    <t>Economic and industrial services</t>
  </si>
  <si>
    <t>Surplus/Deficit, Revenue</t>
  </si>
  <si>
    <t>Surplus/Deficit Measures</t>
  </si>
  <si>
    <t>Tax and Revenue</t>
  </si>
  <si>
    <t>Adjusted Financial Balance</t>
  </si>
  <si>
    <t>Total Crown Operating Balance</t>
  </si>
  <si>
    <t>Total Crown OBEGALx</t>
  </si>
  <si>
    <t>Total Crown OBEGAL</t>
  </si>
  <si>
    <t xml:space="preserve">Core Crown Residual Cash </t>
  </si>
  <si>
    <t>Total Crown Tax Receipts</t>
  </si>
  <si>
    <t>Core Crown Tax Revenue</t>
  </si>
  <si>
    <t>Cash Receipts</t>
  </si>
  <si>
    <t>Core Crown  Revenue</t>
  </si>
  <si>
    <t>Total Crown Revenue</t>
  </si>
  <si>
    <t>* GAAP data for Total Crown Operating Balance, core Crown tax Revenue and core Crown Revenue for these years has not been backdated on IFRS basis</t>
  </si>
  <si>
    <t>† Data for receipts and revenue for these years include GST paid on government purchases</t>
  </si>
  <si>
    <t>^ Total Crown revenue has been restated to exclude Income Related Rent Subsidy between government reporting entities</t>
  </si>
  <si>
    <t>Tax Receipts</t>
  </si>
  <si>
    <t>Gross Debt, Net Debt, Net Worth</t>
  </si>
  <si>
    <t>Gross Debt Measures</t>
  </si>
  <si>
    <t>Net Worth</t>
  </si>
  <si>
    <t>Net Debt Measures</t>
  </si>
  <si>
    <t>Total Crown Borrowings</t>
  </si>
  <si>
    <t>Gross Sovereign-issued Debt</t>
  </si>
  <si>
    <t>Gross debt</t>
  </si>
  <si>
    <t>Total Crown Net Worth</t>
  </si>
  <si>
    <t>Net Worth attributable to the Crown</t>
  </si>
  <si>
    <t xml:space="preserve">(Former) Core Crown Net Debt </t>
  </si>
  <si>
    <t xml:space="preserve">Core Crown Net Debt </t>
  </si>
  <si>
    <t xml:space="preserve">Net Debt </t>
  </si>
  <si>
    <t>2023*</t>
  </si>
  <si>
    <t xml:space="preserve">* As part of a review of the fiscal indicators through the Budget 2022, the Gross Sovereign-issued Debt and the (former) Core Crown Net Debt (column J) measures are no longer published indicators. </t>
  </si>
  <si>
    <t>NZS Fund</t>
  </si>
  <si>
    <t>NZS Fund series</t>
  </si>
  <si>
    <t>NZS Fund Revenue</t>
  </si>
  <si>
    <t>Crown contributions to the NZS Fund</t>
  </si>
  <si>
    <t>NZS Fund Current Tax expense</t>
  </si>
  <si>
    <t>NZS Fund Other Expenses and movements*</t>
  </si>
  <si>
    <t>NZS Fund Gains/(losses)</t>
  </si>
  <si>
    <t>NZS Fund Net worth</t>
  </si>
  <si>
    <t>* This includes deferred tax expenses which can be variable year on year.</t>
  </si>
  <si>
    <t>NZS Fund Tax expense</t>
  </si>
  <si>
    <t>NZS Fund Other Expenses and movements</t>
  </si>
  <si>
    <t>Gross Domestic Product</t>
  </si>
  <si>
    <t>Nominal GDP</t>
  </si>
  <si>
    <t xml:space="preserve"> March Years</t>
  </si>
  <si>
    <t>June Years</t>
  </si>
  <si>
    <t>Published 9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</si>
</sst>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0.00_)"/>
    <numFmt numFmtId="166" formatCode="#,###,;[Red]\-#,###,;0"/>
    <numFmt numFmtId="167" formatCode="#,##0.000"/>
    <numFmt numFmtId="168" formatCode="0.0%"/>
    <numFmt numFmtId="169" formatCode="d\ mmmm\ yyyy"/>
    <numFmt numFmtId="170" formatCode="d\ mmm\ yyyy"/>
    <numFmt numFmtId="171" formatCode="_-* #,##0_-;\-* #,##0_-;_-* &quot;-&quot;??_-;_-@_-"/>
    <numFmt numFmtId="172" formatCode="_(* #,##0_);_(* \(#,##0\);_(* &quot;-&quot;??_);_(@_)"/>
  </numFmts>
  <fonts count="46">
    <font>
      <sz val="10"/>
      <name val="Arial"/>
    </font>
    <font>
      <sz val="10"/>
      <name val="Arial"/>
      <family val="2"/>
    </font>
    <font>
      <b/>
      <sz val="8"/>
      <name val="Arial"/>
      <family val="2"/>
    </font>
    <font>
      <sz val="8"/>
      <name val="Arial"/>
      <family val="2"/>
    </font>
    <font>
      <sz val="8"/>
      <name val="Arial"/>
      <family val="2"/>
    </font>
    <font>
      <u/>
      <sz val="10"/>
      <color indexed="12"/>
      <name val="Arial"/>
      <family val="2"/>
    </font>
    <font>
      <b/>
      <i/>
      <sz val="16"/>
      <name val="Helv"/>
    </font>
    <font>
      <sz val="10"/>
      <name val="Times New Roman"/>
      <family val="1"/>
    </font>
    <font>
      <sz val="10"/>
      <name val="MS Sans Serif"/>
      <family val="2"/>
    </font>
    <font>
      <b/>
      <sz val="10"/>
      <name val="MS Sans Serif"/>
      <family val="2"/>
    </font>
    <font>
      <i/>
      <sz val="10"/>
      <name val="Arial"/>
      <family val="2"/>
    </font>
    <font>
      <b/>
      <sz val="10"/>
      <color indexed="32"/>
      <name val="Arial"/>
      <family val="2"/>
    </font>
    <font>
      <b/>
      <sz val="9"/>
      <name val="Arial"/>
      <family val="2"/>
    </font>
    <font>
      <sz val="9"/>
      <name val="Arial"/>
      <family val="2"/>
    </font>
    <font>
      <b/>
      <sz val="9"/>
      <name val="Arial"/>
      <family val="2"/>
    </font>
    <font>
      <sz val="10"/>
      <name val="Times New Roman"/>
      <family val="1"/>
    </font>
    <font>
      <b/>
      <sz val="10"/>
      <name val="Arial Narrow"/>
      <family val="2"/>
    </font>
    <font>
      <sz val="10"/>
      <name val="Arial Narrow"/>
      <family val="2"/>
    </font>
    <font>
      <sz val="9"/>
      <name val="Arial Narrow"/>
      <family val="2"/>
    </font>
    <font>
      <b/>
      <sz val="12"/>
      <name val="Arial"/>
      <family val="2"/>
    </font>
    <font>
      <b/>
      <sz val="12"/>
      <name val="Arial Narrow"/>
      <family val="2"/>
    </font>
    <font>
      <b/>
      <sz val="11"/>
      <name val="Arial Narrow"/>
      <family val="2"/>
    </font>
    <font>
      <sz val="10"/>
      <color indexed="23"/>
      <name val="Arial"/>
      <family val="2"/>
    </font>
    <font>
      <sz val="8"/>
      <name val="Arial"/>
      <family val="2"/>
    </font>
    <font>
      <u/>
      <sz val="10"/>
      <name val="Arial"/>
      <family val="2"/>
    </font>
    <font>
      <sz val="10"/>
      <name val="Arial"/>
      <family val="2"/>
    </font>
    <font>
      <b/>
      <sz val="10"/>
      <name val="Arial"/>
      <family val="2"/>
    </font>
    <font>
      <b/>
      <sz val="8"/>
      <name val="Arial"/>
      <family val="2"/>
    </font>
    <font>
      <sz val="10"/>
      <name val="MS Sans Serif"/>
      <family val="2"/>
    </font>
    <font>
      <b/>
      <sz val="10"/>
      <name val="MS Sans Serif"/>
      <family val="2"/>
    </font>
    <font>
      <i/>
      <sz val="10"/>
      <name val="Arial"/>
      <family val="2"/>
    </font>
    <font>
      <b/>
      <sz val="10"/>
      <color indexed="32"/>
      <name val="Arial"/>
      <family val="2"/>
    </font>
    <font>
      <b/>
      <sz val="9"/>
      <name val="Arial"/>
      <family val="2"/>
    </font>
    <font>
      <sz val="9"/>
      <name val="Arial"/>
      <family val="2"/>
    </font>
    <font>
      <sz val="10"/>
      <name val="Times New Roman"/>
      <family val="1"/>
    </font>
    <font>
      <sz val="10"/>
      <name val="Arial"/>
      <family val="2"/>
    </font>
    <font>
      <vertAlign val="superscript"/>
      <sz val="10"/>
      <name val="Arial"/>
      <family val="2"/>
    </font>
    <font>
      <b/>
      <sz val="11"/>
      <color theme="1"/>
      <name val="Arial"/>
      <family val="2"/>
    </font>
    <font>
      <sz val="11"/>
      <color theme="1"/>
      <name val="Arial Narrow"/>
      <family val="2"/>
    </font>
    <font>
      <i/>
      <sz val="11"/>
      <color theme="1"/>
      <name val="Arial Narrow"/>
      <family val="2"/>
    </font>
    <font>
      <sz val="10"/>
      <color rgb="FF000000"/>
      <name val="Arial"/>
      <family val="2"/>
    </font>
    <font>
      <sz val="10"/>
      <name val="Arial "/>
    </font>
    <font>
      <sz val="8"/>
      <name val="Arial"/>
      <family val="2"/>
    </font>
    <font>
      <sz val="10"/>
      <color rgb="FFFF0000"/>
      <name val="Arial"/>
      <family val="2"/>
    </font>
    <font>
      <b/>
      <sz val="16"/>
      <name val="Arial"/>
      <family val="2"/>
    </font>
    <font>
      <sz val="10"/>
      <color indexed="8"/>
      <name val="Arial"/>
      <family val="2"/>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mediumGray">
        <fgColor indexed="22"/>
      </patternFill>
    </fill>
    <fill>
      <patternFill patternType="solid">
        <fgColor indexed="31"/>
        <bgColor indexed="8"/>
      </patternFill>
    </fill>
    <fill>
      <patternFill patternType="solid">
        <fgColor indexed="43"/>
        <bgColor indexed="8"/>
      </patternFill>
    </fill>
    <fill>
      <patternFill patternType="solid">
        <fgColor indexed="6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5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hair">
        <color indexed="64"/>
      </right>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theme="0" tint="-0.14999847407452621"/>
      </right>
      <top/>
      <bottom style="thin">
        <color indexed="64"/>
      </bottom>
      <diagonal/>
    </border>
    <border>
      <left/>
      <right/>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right style="thin">
        <color theme="0" tint="-0.14999847407452621"/>
      </right>
      <top style="thin">
        <color theme="0" tint="-0.14999847407452621"/>
      </top>
      <bottom style="thin">
        <color indexed="64"/>
      </bottom>
      <diagonal/>
    </border>
    <border>
      <left/>
      <right style="thin">
        <color theme="0" tint="-0.14999847407452621"/>
      </right>
      <top/>
      <bottom style="thin">
        <color theme="0" tint="-0.14999847407452621"/>
      </bottom>
      <diagonal/>
    </border>
    <border>
      <left style="thin">
        <color theme="0" tint="-0.14999847407452621"/>
      </left>
      <right style="thin">
        <color indexed="64"/>
      </right>
      <top/>
      <bottom style="thin">
        <color theme="0" tint="-0.14999847407452621"/>
      </bottom>
      <diagonal/>
    </border>
    <border>
      <left style="thin">
        <color theme="0" tint="-0.14999847407452621"/>
      </left>
      <right style="thin">
        <color indexed="64"/>
      </right>
      <top style="thin">
        <color theme="0" tint="-0.14999847407452621"/>
      </top>
      <bottom style="thin">
        <color indexed="64"/>
      </bottom>
      <diagonal/>
    </border>
    <border>
      <left style="thin">
        <color theme="0" tint="-0.14999847407452621"/>
      </left>
      <right style="thin">
        <color indexed="64"/>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indexed="64"/>
      </right>
      <top style="thin">
        <color theme="0" tint="-0.14999847407452621"/>
      </top>
      <bottom/>
      <diagonal/>
    </border>
    <border>
      <left/>
      <right style="thin">
        <color indexed="64"/>
      </right>
      <top/>
      <bottom style="thin">
        <color theme="0" tint="-0.14999847407452621"/>
      </bottom>
      <diagonal/>
    </border>
    <border>
      <left/>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indexed="64"/>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style="thin">
        <color theme="0" tint="-0.14999847407452621"/>
      </top>
      <bottom style="thin">
        <color indexed="64"/>
      </bottom>
      <diagonal/>
    </border>
    <border>
      <left/>
      <right/>
      <top style="thin">
        <color theme="0" tint="-0.14999847407452621"/>
      </top>
      <bottom style="thin">
        <color indexed="64"/>
      </bottom>
      <diagonal/>
    </border>
    <border>
      <left/>
      <right style="thin">
        <color indexed="64"/>
      </right>
      <top style="hair">
        <color indexed="64"/>
      </top>
      <bottom style="hair">
        <color indexed="64"/>
      </bottom>
      <diagonal/>
    </border>
  </borders>
  <cellStyleXfs count="77">
    <xf numFmtId="0" fontId="0" fillId="0" borderId="0"/>
    <xf numFmtId="0" fontId="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64" fontId="35" fillId="0" borderId="0" applyFont="0" applyFill="0" applyBorder="0" applyAlignment="0" applyProtection="0"/>
    <xf numFmtId="38" fontId="4" fillId="2" borderId="0" applyNumberFormat="0" applyBorder="0" applyAlignment="0" applyProtection="0"/>
    <xf numFmtId="38" fontId="3" fillId="2" borderId="0" applyNumberFormat="0" applyBorder="0" applyAlignment="0" applyProtection="0"/>
    <xf numFmtId="38" fontId="3" fillId="2" borderId="0" applyNumberFormat="0" applyBorder="0" applyAlignment="0" applyProtection="0"/>
    <xf numFmtId="0" fontId="16" fillId="2" borderId="1">
      <alignment horizontal="center" wrapText="1"/>
    </xf>
    <xf numFmtId="0" fontId="5" fillId="0" borderId="0" applyNumberFormat="0" applyFill="0" applyBorder="0" applyAlignment="0" applyProtection="0">
      <alignment vertical="top"/>
      <protection locked="0"/>
    </xf>
    <xf numFmtId="10" fontId="4" fillId="3" borderId="2" applyNumberFormat="0" applyBorder="0" applyAlignment="0" applyProtection="0"/>
    <xf numFmtId="10" fontId="3" fillId="3" borderId="2" applyNumberFormat="0" applyBorder="0" applyAlignment="0" applyProtection="0"/>
    <xf numFmtId="10" fontId="3" fillId="3" borderId="2" applyNumberFormat="0" applyBorder="0" applyAlignment="0" applyProtection="0"/>
    <xf numFmtId="165" fontId="6" fillId="0" borderId="0"/>
    <xf numFmtId="0" fontId="1" fillId="0" borderId="0"/>
    <xf numFmtId="166" fontId="7" fillId="0" borderId="0" applyProtection="0"/>
    <xf numFmtId="2" fontId="8" fillId="0" borderId="0">
      <alignment horizontal="center"/>
    </xf>
    <xf numFmtId="2" fontId="28" fillId="0" borderId="0">
      <alignment horizontal="center"/>
    </xf>
    <xf numFmtId="2" fontId="28" fillId="0" borderId="0">
      <alignment horizontal="center"/>
    </xf>
    <xf numFmtId="9" fontId="1" fillId="0" borderId="0" applyFont="0" applyFill="0" applyBorder="0" applyAlignment="0" applyProtection="0"/>
    <xf numFmtId="10" fontId="1" fillId="0" borderId="0" applyFont="0" applyFill="0" applyBorder="0" applyAlignment="0" applyProtection="0"/>
    <xf numFmtId="10" fontId="25" fillId="0" borderId="0" applyFont="0" applyFill="0" applyBorder="0" applyAlignment="0" applyProtection="0"/>
    <xf numFmtId="10" fontId="25" fillId="0" borderId="0" applyFont="0" applyFill="0" applyBorder="0" applyAlignment="0" applyProtection="0"/>
    <xf numFmtId="0" fontId="8" fillId="0" borderId="0" applyNumberFormat="0" applyFont="0" applyFill="0" applyBorder="0" applyAlignment="0" applyProtection="0">
      <alignment horizontal="left"/>
    </xf>
    <xf numFmtId="0" fontId="28" fillId="0" borderId="0" applyNumberFormat="0" applyFont="0" applyFill="0" applyBorder="0" applyAlignment="0" applyProtection="0">
      <alignment horizontal="left"/>
    </xf>
    <xf numFmtId="0" fontId="28" fillId="0" borderId="0" applyNumberFormat="0" applyFont="0" applyFill="0" applyBorder="0" applyAlignment="0" applyProtection="0">
      <alignment horizontal="left"/>
    </xf>
    <xf numFmtId="15" fontId="8" fillId="0" borderId="0" applyFont="0" applyFill="0" applyBorder="0" applyAlignment="0" applyProtection="0"/>
    <xf numFmtId="15" fontId="28" fillId="0" borderId="0" applyFont="0" applyFill="0" applyBorder="0" applyAlignment="0" applyProtection="0"/>
    <xf numFmtId="15" fontId="28" fillId="0" borderId="0" applyFont="0" applyFill="0" applyBorder="0" applyAlignment="0" applyProtection="0"/>
    <xf numFmtId="4" fontId="8" fillId="0" borderId="0" applyFont="0" applyFill="0" applyBorder="0" applyAlignment="0" applyProtection="0"/>
    <xf numFmtId="4" fontId="28" fillId="0" borderId="0" applyFont="0" applyFill="0" applyBorder="0" applyAlignment="0" applyProtection="0"/>
    <xf numFmtId="4" fontId="28" fillId="0" borderId="0" applyFont="0" applyFill="0" applyBorder="0" applyAlignment="0" applyProtection="0"/>
    <xf numFmtId="0" fontId="9" fillId="0" borderId="3">
      <alignment horizontal="center"/>
    </xf>
    <xf numFmtId="0" fontId="29" fillId="0" borderId="3">
      <alignment horizontal="center"/>
    </xf>
    <xf numFmtId="0" fontId="29" fillId="0" borderId="3">
      <alignment horizontal="center"/>
    </xf>
    <xf numFmtId="3" fontId="8" fillId="0" borderId="0" applyFont="0" applyFill="0" applyBorder="0" applyAlignment="0" applyProtection="0"/>
    <xf numFmtId="3" fontId="28" fillId="0" borderId="0" applyFont="0" applyFill="0" applyBorder="0" applyAlignment="0" applyProtection="0"/>
    <xf numFmtId="3" fontId="28" fillId="0" borderId="0" applyFont="0" applyFill="0" applyBorder="0" applyAlignment="0" applyProtection="0"/>
    <xf numFmtId="0" fontId="8" fillId="4" borderId="0" applyNumberFormat="0" applyFont="0" applyBorder="0" applyAlignment="0" applyProtection="0"/>
    <xf numFmtId="0" fontId="28" fillId="4" borderId="0" applyNumberFormat="0" applyFont="0" applyBorder="0" applyAlignment="0" applyProtection="0"/>
    <xf numFmtId="0" fontId="28" fillId="4" borderId="0" applyNumberFormat="0" applyFont="0" applyBorder="0" applyAlignment="0" applyProtection="0"/>
    <xf numFmtId="0" fontId="1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11" fillId="5" borderId="0" applyNumberFormat="0" applyBorder="0">
      <alignment horizontal="left"/>
      <protection locked="0"/>
    </xf>
    <xf numFmtId="0" fontId="31" fillId="5" borderId="0" applyNumberFormat="0" applyBorder="0">
      <alignment horizontal="left"/>
      <protection locked="0"/>
    </xf>
    <xf numFmtId="0" fontId="31" fillId="5" borderId="0" applyNumberFormat="0" applyBorder="0">
      <alignment horizontal="left"/>
      <protection locked="0"/>
    </xf>
    <xf numFmtId="0" fontId="1" fillId="6" borderId="0" applyNumberFormat="0" applyFont="0" applyBorder="0" applyAlignment="0">
      <protection locked="0"/>
    </xf>
    <xf numFmtId="0" fontId="25" fillId="6" borderId="0" applyNumberFormat="0" applyFont="0" applyBorder="0" applyAlignment="0">
      <protection locked="0"/>
    </xf>
    <xf numFmtId="0" fontId="25" fillId="6" borderId="0" applyNumberFormat="0" applyFont="0" applyBorder="0" applyAlignment="0">
      <protection locked="0"/>
    </xf>
    <xf numFmtId="0" fontId="1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2" fillId="7" borderId="2" applyNumberFormat="0" applyProtection="0">
      <alignment horizontal="center" vertical="top" wrapText="1"/>
    </xf>
    <xf numFmtId="0" fontId="32" fillId="7" borderId="2" applyNumberFormat="0" applyProtection="0">
      <alignment horizontal="center" vertical="top" wrapText="1"/>
    </xf>
    <xf numFmtId="0" fontId="32" fillId="7" borderId="2" applyNumberFormat="0" applyProtection="0">
      <alignment horizontal="center" vertical="top" wrapText="1"/>
    </xf>
    <xf numFmtId="0" fontId="12" fillId="1" borderId="4" applyNumberFormat="0" applyProtection="0">
      <alignment vertical="top" wrapText="1"/>
    </xf>
    <xf numFmtId="0" fontId="32" fillId="1" borderId="4" applyNumberFormat="0" applyProtection="0">
      <alignment vertical="top" wrapText="1"/>
    </xf>
    <xf numFmtId="0" fontId="32" fillId="1" borderId="4" applyNumberFormat="0" applyProtection="0">
      <alignment vertical="top" wrapText="1"/>
    </xf>
    <xf numFmtId="167" fontId="13" fillId="0" borderId="5" applyFill="0" applyProtection="0">
      <alignment horizontal="right" vertical="top"/>
    </xf>
    <xf numFmtId="167" fontId="33" fillId="0" borderId="5" applyFill="0" applyProtection="0">
      <alignment horizontal="right" vertical="top"/>
    </xf>
    <xf numFmtId="167" fontId="33" fillId="0" borderId="5" applyFill="0" applyProtection="0">
      <alignment horizontal="right" vertical="top"/>
    </xf>
    <xf numFmtId="167" fontId="12" fillId="0" borderId="2" applyFill="0" applyProtection="0">
      <alignment horizontal="right" vertical="top"/>
    </xf>
    <xf numFmtId="167" fontId="32" fillId="0" borderId="2" applyFill="0" applyProtection="0">
      <alignment horizontal="right" vertical="top"/>
    </xf>
    <xf numFmtId="167" fontId="32" fillId="0" borderId="2" applyFill="0" applyProtection="0">
      <alignment horizontal="right" vertical="top"/>
    </xf>
    <xf numFmtId="14" fontId="1" fillId="0" borderId="0" applyFont="0" applyFill="0" applyBorder="0" applyAlignment="0" applyProtection="0"/>
    <xf numFmtId="14" fontId="25" fillId="0" borderId="0" applyFont="0" applyFill="0" applyBorder="0" applyAlignment="0" applyProtection="0"/>
    <xf numFmtId="14" fontId="25" fillId="0" borderId="0" applyFont="0" applyFill="0" applyBorder="0" applyAlignment="0" applyProtection="0"/>
    <xf numFmtId="37" fontId="14" fillId="0" borderId="0">
      <alignment wrapText="1"/>
    </xf>
    <xf numFmtId="37" fontId="12" fillId="0" borderId="0">
      <alignment wrapText="1"/>
    </xf>
    <xf numFmtId="37" fontId="12" fillId="0" borderId="0">
      <alignment wrapText="1"/>
    </xf>
    <xf numFmtId="0" fontId="15" fillId="0" borderId="0">
      <alignment vertical="top"/>
    </xf>
    <xf numFmtId="0" fontId="34" fillId="0" borderId="0">
      <alignment vertical="top"/>
    </xf>
    <xf numFmtId="0" fontId="34" fillId="0" borderId="0">
      <alignment vertical="top"/>
    </xf>
  </cellStyleXfs>
  <cellXfs count="201">
    <xf numFmtId="0" fontId="0" fillId="0" borderId="0" xfId="0"/>
    <xf numFmtId="169" fontId="20" fillId="0" borderId="0" xfId="0" applyNumberFormat="1" applyFont="1" applyAlignment="1">
      <alignment horizontal="left"/>
    </xf>
    <xf numFmtId="0" fontId="0" fillId="0" borderId="0" xfId="0" quotePrefix="1"/>
    <xf numFmtId="0" fontId="17" fillId="0" borderId="0" xfId="0" applyFont="1"/>
    <xf numFmtId="0" fontId="16" fillId="2" borderId="6" xfId="11" applyBorder="1">
      <alignment horizontal="center" wrapText="1"/>
    </xf>
    <xf numFmtId="0" fontId="16" fillId="2" borderId="7" xfId="11" applyBorder="1">
      <alignment horizontal="center" wrapText="1"/>
    </xf>
    <xf numFmtId="170" fontId="17" fillId="2" borderId="7" xfId="0" applyNumberFormat="1" applyFont="1" applyFill="1" applyBorder="1" applyAlignment="1">
      <alignment horizontal="center" wrapText="1"/>
    </xf>
    <xf numFmtId="170" fontId="18" fillId="2" borderId="7" xfId="0" applyNumberFormat="1" applyFont="1" applyFill="1" applyBorder="1" applyAlignment="1">
      <alignment horizontal="center" wrapText="1"/>
    </xf>
    <xf numFmtId="0" fontId="16" fillId="2" borderId="6" xfId="11" applyBorder="1" applyAlignment="1">
      <alignment horizontal="center"/>
    </xf>
    <xf numFmtId="0" fontId="16" fillId="2" borderId="7" xfId="11" applyBorder="1" applyAlignment="1">
      <alignment horizontal="center"/>
    </xf>
    <xf numFmtId="1" fontId="0" fillId="0" borderId="0" xfId="0" applyNumberFormat="1" applyAlignment="1">
      <alignment horizontal="center"/>
    </xf>
    <xf numFmtId="0" fontId="0" fillId="0" borderId="6" xfId="0" quotePrefix="1" applyBorder="1" applyAlignment="1">
      <alignment horizontal="center"/>
    </xf>
    <xf numFmtId="0" fontId="0" fillId="0" borderId="0" xfId="0" applyAlignment="1">
      <alignment horizontal="center" vertical="center" textRotation="90" wrapText="1"/>
    </xf>
    <xf numFmtId="0" fontId="0" fillId="0" borderId="0" xfId="0" quotePrefix="1" applyAlignment="1">
      <alignment horizontal="center"/>
    </xf>
    <xf numFmtId="0" fontId="0" fillId="0" borderId="7" xfId="0" quotePrefix="1" applyBorder="1" applyAlignment="1">
      <alignment horizontal="center"/>
    </xf>
    <xf numFmtId="0" fontId="0" fillId="0" borderId="7" xfId="0" applyBorder="1"/>
    <xf numFmtId="0" fontId="0" fillId="0" borderId="0" xfId="0" applyAlignment="1">
      <alignment horizontal="center"/>
    </xf>
    <xf numFmtId="0" fontId="22" fillId="0" borderId="0" xfId="0" quotePrefix="1" applyFont="1" applyAlignment="1">
      <alignment horizontal="center"/>
    </xf>
    <xf numFmtId="1" fontId="22" fillId="0" borderId="0" xfId="0" applyNumberFormat="1" applyFont="1" applyAlignment="1">
      <alignment horizontal="center"/>
    </xf>
    <xf numFmtId="0" fontId="0" fillId="0" borderId="6" xfId="0" applyBorder="1"/>
    <xf numFmtId="168" fontId="0" fillId="0" borderId="6" xfId="22" applyNumberFormat="1" applyFont="1" applyBorder="1" applyAlignment="1">
      <alignment horizontal="center"/>
    </xf>
    <xf numFmtId="168" fontId="0" fillId="0" borderId="0" xfId="22" applyNumberFormat="1" applyFont="1" applyBorder="1" applyAlignment="1">
      <alignment horizontal="center"/>
    </xf>
    <xf numFmtId="168" fontId="0" fillId="0" borderId="7" xfId="22" applyNumberFormat="1" applyFont="1" applyBorder="1" applyAlignment="1">
      <alignment horizontal="center"/>
    </xf>
    <xf numFmtId="0" fontId="0" fillId="8" borderId="0" xfId="0" applyFill="1"/>
    <xf numFmtId="0" fontId="17" fillId="8" borderId="0" xfId="0" applyFont="1" applyFill="1"/>
    <xf numFmtId="0" fontId="5" fillId="2" borderId="6" xfId="12" applyFill="1" applyBorder="1" applyAlignment="1" applyProtection="1">
      <alignment horizontal="center" wrapText="1"/>
    </xf>
    <xf numFmtId="9" fontId="0" fillId="0" borderId="0" xfId="22" applyFont="1"/>
    <xf numFmtId="168" fontId="0" fillId="0" borderId="6" xfId="22" quotePrefix="1" applyNumberFormat="1" applyFont="1" applyBorder="1" applyAlignment="1">
      <alignment horizontal="center"/>
    </xf>
    <xf numFmtId="168" fontId="0" fillId="0" borderId="0" xfId="22" quotePrefix="1" applyNumberFormat="1" applyFont="1" applyBorder="1" applyAlignment="1">
      <alignment horizontal="center"/>
    </xf>
    <xf numFmtId="168" fontId="0" fillId="0" borderId="7" xfId="22" quotePrefix="1" applyNumberFormat="1" applyFont="1" applyBorder="1" applyAlignment="1">
      <alignment horizontal="center"/>
    </xf>
    <xf numFmtId="168" fontId="0" fillId="0" borderId="0" xfId="22" quotePrefix="1" applyNumberFormat="1" applyFont="1" applyFill="1" applyBorder="1" applyAlignment="1">
      <alignment horizontal="center"/>
    </xf>
    <xf numFmtId="168" fontId="0" fillId="0" borderId="7" xfId="22" quotePrefix="1" applyNumberFormat="1" applyFont="1" applyFill="1" applyBorder="1" applyAlignment="1">
      <alignment horizontal="center"/>
    </xf>
    <xf numFmtId="0" fontId="16" fillId="0" borderId="0" xfId="11" applyFill="1" applyBorder="1">
      <alignment horizontal="center" wrapText="1"/>
    </xf>
    <xf numFmtId="170" fontId="17" fillId="0" borderId="0" xfId="0" applyNumberFormat="1" applyFont="1" applyAlignment="1">
      <alignment horizontal="center" wrapText="1"/>
    </xf>
    <xf numFmtId="168" fontId="0" fillId="0" borderId="0" xfId="22" applyNumberFormat="1" applyFont="1" applyFill="1" applyBorder="1" applyAlignment="1">
      <alignment horizontal="center"/>
    </xf>
    <xf numFmtId="0" fontId="5" fillId="0" borderId="0" xfId="12" applyAlignment="1" applyProtection="1"/>
    <xf numFmtId="168" fontId="0" fillId="0" borderId="6" xfId="22" applyNumberFormat="1" applyFont="1" applyFill="1" applyBorder="1" applyAlignment="1">
      <alignment horizontal="center"/>
    </xf>
    <xf numFmtId="0" fontId="17" fillId="0" borderId="0" xfId="0" applyFont="1" applyAlignment="1">
      <alignment horizontal="left"/>
    </xf>
    <xf numFmtId="0" fontId="37" fillId="0" borderId="8" xfId="0" applyFont="1" applyBorder="1"/>
    <xf numFmtId="0" fontId="38" fillId="0" borderId="9" xfId="0" applyFont="1" applyBorder="1" applyAlignment="1">
      <alignment vertical="center"/>
    </xf>
    <xf numFmtId="0" fontId="39" fillId="0" borderId="10" xfId="0" applyFont="1" applyBorder="1" applyAlignment="1">
      <alignment horizontal="center"/>
    </xf>
    <xf numFmtId="0" fontId="39" fillId="0" borderId="10" xfId="0" applyFont="1" applyBorder="1" applyAlignment="1">
      <alignment horizontal="center" wrapText="1"/>
    </xf>
    <xf numFmtId="0" fontId="38" fillId="0" borderId="11" xfId="0" applyFont="1" applyBorder="1"/>
    <xf numFmtId="0" fontId="38" fillId="0" borderId="12" xfId="0" applyFont="1" applyBorder="1" applyAlignment="1">
      <alignment vertical="center" wrapText="1"/>
    </xf>
    <xf numFmtId="0" fontId="38" fillId="0" borderId="13" xfId="0" applyFont="1" applyBorder="1" applyAlignment="1">
      <alignment wrapText="1"/>
    </xf>
    <xf numFmtId="0" fontId="38" fillId="0" borderId="8" xfId="0" applyFont="1" applyBorder="1" applyAlignment="1">
      <alignment vertical="center" wrapText="1"/>
    </xf>
    <xf numFmtId="0" fontId="38" fillId="0" borderId="13" xfId="0" applyFont="1" applyBorder="1" applyAlignment="1">
      <alignment vertical="center" wrapText="1"/>
    </xf>
    <xf numFmtId="0" fontId="38" fillId="0" borderId="14" xfId="0" applyFont="1" applyBorder="1" applyAlignment="1">
      <alignment vertical="center" wrapText="1"/>
    </xf>
    <xf numFmtId="0" fontId="38" fillId="0" borderId="0" xfId="0" applyFont="1" applyAlignment="1">
      <alignment horizontal="left" vertical="center" wrapText="1"/>
    </xf>
    <xf numFmtId="0" fontId="38" fillId="0" borderId="5" xfId="0" applyFont="1" applyBorder="1" applyAlignment="1">
      <alignment vertical="center" wrapText="1"/>
    </xf>
    <xf numFmtId="0" fontId="38" fillId="0" borderId="15" xfId="0" applyFont="1" applyBorder="1" applyAlignment="1">
      <alignment vertical="center"/>
    </xf>
    <xf numFmtId="0" fontId="38" fillId="0" borderId="16" xfId="0" applyFont="1" applyBorder="1" applyAlignment="1">
      <alignment horizontal="left" vertical="center" wrapText="1"/>
    </xf>
    <xf numFmtId="0" fontId="38" fillId="0" borderId="8" xfId="0" applyFont="1" applyBorder="1" applyAlignment="1">
      <alignment vertical="center"/>
    </xf>
    <xf numFmtId="0" fontId="38" fillId="0" borderId="17" xfId="0" applyFont="1" applyBorder="1" applyAlignment="1">
      <alignment vertical="center" wrapText="1"/>
    </xf>
    <xf numFmtId="0" fontId="39" fillId="9" borderId="1" xfId="0" applyFont="1" applyFill="1" applyBorder="1" applyAlignment="1">
      <alignment horizontal="center" vertical="center"/>
    </xf>
    <xf numFmtId="0" fontId="39" fillId="9" borderId="1" xfId="0" applyFont="1" applyFill="1" applyBorder="1" applyAlignment="1">
      <alignment horizontal="center" vertical="center" wrapText="1"/>
    </xf>
    <xf numFmtId="0" fontId="39" fillId="9" borderId="18" xfId="0" applyFont="1" applyFill="1" applyBorder="1" applyAlignment="1">
      <alignment horizontal="center" vertical="center" wrapText="1"/>
    </xf>
    <xf numFmtId="0" fontId="21" fillId="2" borderId="19" xfId="11" applyFont="1" applyBorder="1" applyAlignment="1">
      <alignment horizontal="left"/>
    </xf>
    <xf numFmtId="0" fontId="16" fillId="2" borderId="20" xfId="11" applyBorder="1">
      <alignment horizontal="center" wrapText="1"/>
    </xf>
    <xf numFmtId="170" fontId="17" fillId="2" borderId="21" xfId="0" applyNumberFormat="1" applyFont="1" applyFill="1" applyBorder="1" applyAlignment="1">
      <alignment horizontal="center" wrapText="1"/>
    </xf>
    <xf numFmtId="168" fontId="0" fillId="0" borderId="5" xfId="22" applyNumberFormat="1" applyFont="1" applyFill="1" applyBorder="1" applyAlignment="1">
      <alignment horizontal="center"/>
    </xf>
    <xf numFmtId="0" fontId="16" fillId="0" borderId="6" xfId="11" applyFill="1" applyBorder="1">
      <alignment horizontal="center" wrapText="1"/>
    </xf>
    <xf numFmtId="170" fontId="18" fillId="2" borderId="21" xfId="0" applyNumberFormat="1" applyFont="1" applyFill="1" applyBorder="1" applyAlignment="1">
      <alignment horizontal="center" wrapText="1"/>
    </xf>
    <xf numFmtId="168" fontId="0" fillId="0" borderId="22" xfId="22" applyNumberFormat="1" applyFont="1" applyBorder="1" applyAlignment="1">
      <alignment horizontal="center"/>
    </xf>
    <xf numFmtId="168" fontId="0" fillId="0" borderId="5" xfId="22" applyNumberFormat="1" applyFont="1" applyBorder="1" applyAlignment="1">
      <alignment horizontal="center"/>
    </xf>
    <xf numFmtId="168" fontId="0" fillId="0" borderId="21" xfId="22" applyNumberFormat="1" applyFont="1" applyBorder="1" applyAlignment="1">
      <alignment horizontal="center"/>
    </xf>
    <xf numFmtId="168" fontId="0" fillId="0" borderId="22" xfId="22" applyNumberFormat="1" applyFont="1" applyFill="1" applyBorder="1" applyAlignment="1">
      <alignment horizontal="center"/>
    </xf>
    <xf numFmtId="0" fontId="16" fillId="2" borderId="20" xfId="11" applyBorder="1" applyAlignment="1">
      <alignment horizontal="center"/>
    </xf>
    <xf numFmtId="0" fontId="0" fillId="0" borderId="22" xfId="0" applyBorder="1"/>
    <xf numFmtId="0" fontId="0" fillId="0" borderId="5" xfId="0" applyBorder="1"/>
    <xf numFmtId="0" fontId="0" fillId="0" borderId="21" xfId="0" applyBorder="1"/>
    <xf numFmtId="0" fontId="16" fillId="2" borderId="22" xfId="11" applyBorder="1" applyAlignment="1">
      <alignment horizontal="center" vertical="center" wrapText="1"/>
    </xf>
    <xf numFmtId="0" fontId="0" fillId="0" borderId="8" xfId="0" applyBorder="1"/>
    <xf numFmtId="0" fontId="40" fillId="0" borderId="0" xfId="0" applyFont="1"/>
    <xf numFmtId="49" fontId="0" fillId="0" borderId="0" xfId="0" applyNumberFormat="1"/>
    <xf numFmtId="170" fontId="17" fillId="2" borderId="0" xfId="0" applyNumberFormat="1" applyFont="1" applyFill="1" applyAlignment="1">
      <alignment horizontal="center" wrapText="1"/>
    </xf>
    <xf numFmtId="170" fontId="17" fillId="2" borderId="5" xfId="0" applyNumberFormat="1" applyFont="1" applyFill="1" applyBorder="1" applyAlignment="1">
      <alignment horizontal="center" wrapText="1"/>
    </xf>
    <xf numFmtId="0" fontId="1" fillId="0" borderId="0" xfId="0" applyFont="1"/>
    <xf numFmtId="169" fontId="19" fillId="10" borderId="0" xfId="17" applyNumberFormat="1" applyFont="1" applyFill="1" applyAlignment="1">
      <alignment horizontal="left"/>
    </xf>
    <xf numFmtId="0" fontId="1" fillId="10" borderId="0" xfId="17" applyFill="1"/>
    <xf numFmtId="0" fontId="24" fillId="10" borderId="0" xfId="17" applyFont="1" applyFill="1"/>
    <xf numFmtId="49" fontId="0" fillId="0" borderId="0" xfId="0" applyNumberFormat="1" applyAlignment="1">
      <alignment horizontal="center"/>
    </xf>
    <xf numFmtId="1" fontId="0" fillId="0" borderId="0" xfId="0" applyNumberFormat="1"/>
    <xf numFmtId="0" fontId="0" fillId="0" borderId="7" xfId="0" applyBorder="1" applyAlignment="1">
      <alignment horizontal="center"/>
    </xf>
    <xf numFmtId="0" fontId="1" fillId="0" borderId="6" xfId="0" quotePrefix="1" applyFont="1" applyBorder="1" applyAlignment="1">
      <alignment horizontal="center"/>
    </xf>
    <xf numFmtId="0" fontId="1" fillId="0" borderId="0" xfId="0" quotePrefix="1" applyFont="1" applyAlignment="1">
      <alignment horizontal="center"/>
    </xf>
    <xf numFmtId="171" fontId="38" fillId="0" borderId="16" xfId="7" applyNumberFormat="1" applyFont="1" applyFill="1" applyBorder="1" applyAlignment="1">
      <alignment horizontal="center" vertical="center" wrapText="1"/>
    </xf>
    <xf numFmtId="171" fontId="38" fillId="0" borderId="0" xfId="7" applyNumberFormat="1" applyFont="1" applyFill="1" applyBorder="1" applyAlignment="1">
      <alignment horizontal="center" vertical="center" wrapText="1"/>
    </xf>
    <xf numFmtId="171" fontId="38" fillId="0" borderId="23" xfId="7" applyNumberFormat="1" applyFont="1" applyFill="1" applyBorder="1" applyAlignment="1">
      <alignment horizontal="center" vertical="center" wrapText="1"/>
    </xf>
    <xf numFmtId="0" fontId="38" fillId="0" borderId="24" xfId="0" applyFont="1" applyBorder="1" applyAlignment="1">
      <alignment horizontal="left" vertical="center" wrapText="1"/>
    </xf>
    <xf numFmtId="171" fontId="0" fillId="0" borderId="5" xfId="7" applyNumberFormat="1" applyFont="1" applyBorder="1" applyAlignment="1">
      <alignment horizontal="center"/>
    </xf>
    <xf numFmtId="171" fontId="0" fillId="0" borderId="21" xfId="7" applyNumberFormat="1" applyFont="1" applyBorder="1" applyAlignment="1">
      <alignment horizontal="center"/>
    </xf>
    <xf numFmtId="171" fontId="0" fillId="0" borderId="0" xfId="7" applyNumberFormat="1" applyFont="1" applyBorder="1" applyAlignment="1">
      <alignment horizontal="center"/>
    </xf>
    <xf numFmtId="171" fontId="0" fillId="0" borderId="0" xfId="7" applyNumberFormat="1" applyFont="1" applyFill="1" applyBorder="1" applyAlignment="1">
      <alignment horizontal="center"/>
    </xf>
    <xf numFmtId="171" fontId="0" fillId="0" borderId="7" xfId="7" applyNumberFormat="1" applyFont="1" applyBorder="1" applyAlignment="1">
      <alignment horizontal="center"/>
    </xf>
    <xf numFmtId="171" fontId="0" fillId="0" borderId="7" xfId="7" applyNumberFormat="1" applyFont="1" applyFill="1" applyBorder="1" applyAlignment="1">
      <alignment horizontal="center"/>
    </xf>
    <xf numFmtId="171" fontId="0" fillId="0" borderId="5" xfId="7" applyNumberFormat="1" applyFont="1" applyFill="1" applyBorder="1" applyAlignment="1">
      <alignment horizontal="center"/>
    </xf>
    <xf numFmtId="171" fontId="0" fillId="0" borderId="21" xfId="7" applyNumberFormat="1" applyFont="1" applyFill="1" applyBorder="1" applyAlignment="1">
      <alignment horizontal="center"/>
    </xf>
    <xf numFmtId="171" fontId="0" fillId="0" borderId="6" xfId="7" applyNumberFormat="1" applyFont="1" applyBorder="1" applyAlignment="1">
      <alignment horizontal="center"/>
    </xf>
    <xf numFmtId="171" fontId="0" fillId="0" borderId="22" xfId="7" applyNumberFormat="1" applyFont="1" applyBorder="1" applyAlignment="1">
      <alignment horizontal="center"/>
    </xf>
    <xf numFmtId="171" fontId="0" fillId="0" borderId="6" xfId="7" applyNumberFormat="1" applyFont="1" applyFill="1" applyBorder="1" applyAlignment="1">
      <alignment horizontal="center"/>
    </xf>
    <xf numFmtId="171" fontId="10" fillId="0" borderId="6" xfId="7" applyNumberFormat="1" applyFont="1" applyFill="1" applyBorder="1" applyAlignment="1">
      <alignment horizontal="center"/>
    </xf>
    <xf numFmtId="171" fontId="0" fillId="0" borderId="22" xfId="7" applyNumberFormat="1" applyFont="1" applyFill="1" applyBorder="1" applyAlignment="1">
      <alignment horizontal="center"/>
    </xf>
    <xf numFmtId="171" fontId="0" fillId="0" borderId="0" xfId="0" applyNumberFormat="1"/>
    <xf numFmtId="171" fontId="0" fillId="0" borderId="8" xfId="0" applyNumberFormat="1" applyBorder="1"/>
    <xf numFmtId="0" fontId="1" fillId="0" borderId="0" xfId="0" applyFont="1" applyAlignment="1">
      <alignment horizontal="left"/>
    </xf>
    <xf numFmtId="171" fontId="1" fillId="0" borderId="6" xfId="7" applyNumberFormat="1" applyFont="1" applyFill="1" applyBorder="1" applyAlignment="1">
      <alignment horizontal="center"/>
    </xf>
    <xf numFmtId="171" fontId="1" fillId="0" borderId="0" xfId="7" applyNumberFormat="1" applyFont="1" applyFill="1" applyBorder="1" applyAlignment="1">
      <alignment horizontal="center"/>
    </xf>
    <xf numFmtId="3" fontId="26" fillId="0" borderId="0" xfId="0" applyNumberFormat="1" applyFont="1" applyAlignment="1">
      <alignment wrapText="1"/>
    </xf>
    <xf numFmtId="171" fontId="0" fillId="0" borderId="6" xfId="0" applyNumberFormat="1" applyBorder="1"/>
    <xf numFmtId="0" fontId="41" fillId="0" borderId="0" xfId="0" applyFont="1" applyAlignment="1">
      <alignment horizontal="left"/>
    </xf>
    <xf numFmtId="171" fontId="0" fillId="0" borderId="29" xfId="7" applyNumberFormat="1" applyFont="1" applyFill="1" applyBorder="1" applyAlignment="1">
      <alignment horizontal="center"/>
    </xf>
    <xf numFmtId="171" fontId="0" fillId="0" borderId="33" xfId="7" applyNumberFormat="1" applyFont="1" applyFill="1" applyBorder="1" applyAlignment="1">
      <alignment horizontal="center"/>
    </xf>
    <xf numFmtId="171" fontId="0" fillId="10" borderId="34" xfId="7" applyNumberFormat="1" applyFont="1" applyFill="1" applyBorder="1" applyAlignment="1">
      <alignment horizontal="center"/>
    </xf>
    <xf numFmtId="171" fontId="0" fillId="10" borderId="36" xfId="7" applyNumberFormat="1" applyFont="1" applyFill="1" applyBorder="1" applyAlignment="1">
      <alignment horizontal="center"/>
    </xf>
    <xf numFmtId="171" fontId="0" fillId="10" borderId="37" xfId="7" applyNumberFormat="1" applyFont="1" applyFill="1" applyBorder="1" applyAlignment="1">
      <alignment horizontal="center"/>
    </xf>
    <xf numFmtId="171" fontId="0" fillId="10" borderId="38" xfId="7" applyNumberFormat="1" applyFont="1" applyFill="1" applyBorder="1" applyAlignment="1">
      <alignment horizontal="center"/>
    </xf>
    <xf numFmtId="0" fontId="0" fillId="0" borderId="40" xfId="0" applyBorder="1"/>
    <xf numFmtId="171" fontId="0" fillId="10" borderId="41" xfId="7" applyNumberFormat="1" applyFont="1" applyFill="1" applyBorder="1" applyAlignment="1">
      <alignment horizontal="center"/>
    </xf>
    <xf numFmtId="171" fontId="0" fillId="0" borderId="39" xfId="7" applyNumberFormat="1" applyFont="1" applyFill="1" applyBorder="1" applyAlignment="1">
      <alignment horizontal="center"/>
    </xf>
    <xf numFmtId="171" fontId="0" fillId="0" borderId="37" xfId="7" applyNumberFormat="1" applyFont="1" applyFill="1" applyBorder="1" applyAlignment="1">
      <alignment horizontal="center"/>
    </xf>
    <xf numFmtId="0" fontId="1" fillId="0" borderId="7" xfId="0" quotePrefix="1" applyFont="1" applyBorder="1" applyAlignment="1">
      <alignment horizontal="center"/>
    </xf>
    <xf numFmtId="171" fontId="0" fillId="0" borderId="46" xfId="7" applyNumberFormat="1" applyFont="1" applyFill="1" applyBorder="1" applyAlignment="1">
      <alignment horizontal="center"/>
    </xf>
    <xf numFmtId="171" fontId="0" fillId="0" borderId="38" xfId="7" applyNumberFormat="1" applyFont="1" applyFill="1" applyBorder="1" applyAlignment="1">
      <alignment horizontal="center"/>
    </xf>
    <xf numFmtId="171" fontId="0" fillId="0" borderId="42" xfId="7" applyNumberFormat="1" applyFont="1" applyFill="1" applyBorder="1" applyAlignment="1">
      <alignment horizontal="center"/>
    </xf>
    <xf numFmtId="171" fontId="0" fillId="0" borderId="43" xfId="7" applyNumberFormat="1" applyFont="1" applyFill="1" applyBorder="1" applyAlignment="1">
      <alignment horizontal="center"/>
    </xf>
    <xf numFmtId="171" fontId="0" fillId="0" borderId="44" xfId="7" applyNumberFormat="1" applyFont="1" applyFill="1" applyBorder="1" applyAlignment="1">
      <alignment horizontal="center"/>
    </xf>
    <xf numFmtId="171" fontId="0" fillId="0" borderId="45" xfId="7" applyNumberFormat="1" applyFont="1" applyFill="1" applyBorder="1" applyAlignment="1">
      <alignment horizontal="center"/>
    </xf>
    <xf numFmtId="0" fontId="0" fillId="0" borderId="28" xfId="0" quotePrefix="1" applyBorder="1" applyAlignment="1">
      <alignment horizontal="center"/>
    </xf>
    <xf numFmtId="0" fontId="0" fillId="0" borderId="28" xfId="0" applyBorder="1" applyAlignment="1">
      <alignment horizontal="center"/>
    </xf>
    <xf numFmtId="171" fontId="0" fillId="10" borderId="42" xfId="7" applyNumberFormat="1" applyFont="1" applyFill="1" applyBorder="1" applyAlignment="1">
      <alignment horizontal="center"/>
    </xf>
    <xf numFmtId="168" fontId="0" fillId="0" borderId="0" xfId="22" applyNumberFormat="1" applyFont="1" applyFill="1" applyBorder="1"/>
    <xf numFmtId="168" fontId="0" fillId="0" borderId="0" xfId="22" applyNumberFormat="1" applyFont="1"/>
    <xf numFmtId="1" fontId="0" fillId="0" borderId="7" xfId="0" applyNumberFormat="1" applyBorder="1" applyAlignment="1">
      <alignment horizontal="center"/>
    </xf>
    <xf numFmtId="171" fontId="43" fillId="0" borderId="0" xfId="0" applyNumberFormat="1" applyFont="1"/>
    <xf numFmtId="169" fontId="44" fillId="10" borderId="0" xfId="0" applyNumberFormat="1" applyFont="1" applyFill="1" applyAlignment="1">
      <alignment horizontal="left"/>
    </xf>
    <xf numFmtId="0" fontId="1" fillId="10" borderId="0" xfId="0" applyFont="1" applyFill="1"/>
    <xf numFmtId="0" fontId="1" fillId="8" borderId="0" xfId="0" applyFont="1" applyFill="1"/>
    <xf numFmtId="0" fontId="45" fillId="10" borderId="0" xfId="0" applyFont="1" applyFill="1"/>
    <xf numFmtId="0" fontId="45" fillId="8" borderId="0" xfId="0" applyFont="1" applyFill="1"/>
    <xf numFmtId="169" fontId="19" fillId="8" borderId="0" xfId="0" applyNumberFormat="1" applyFont="1" applyFill="1" applyAlignment="1">
      <alignment horizontal="left"/>
    </xf>
    <xf numFmtId="0" fontId="13" fillId="0" borderId="0" xfId="0" applyFont="1" applyAlignment="1">
      <alignment horizontal="center" vertical="center" textRotation="90"/>
    </xf>
    <xf numFmtId="172" fontId="0" fillId="0" borderId="0" xfId="7" applyNumberFormat="1" applyFont="1"/>
    <xf numFmtId="0" fontId="38" fillId="0" borderId="52" xfId="0" applyFont="1" applyBorder="1" applyAlignment="1">
      <alignment vertical="center" wrapText="1"/>
    </xf>
    <xf numFmtId="171" fontId="1" fillId="0" borderId="22" xfId="7" applyNumberFormat="1" applyFont="1" applyFill="1" applyBorder="1" applyAlignment="1">
      <alignment horizontal="center"/>
    </xf>
    <xf numFmtId="171" fontId="1" fillId="0" borderId="5" xfId="7" applyNumberFormat="1" applyFont="1" applyFill="1" applyBorder="1" applyAlignment="1">
      <alignment horizontal="center"/>
    </xf>
    <xf numFmtId="171" fontId="0" fillId="0" borderId="22" xfId="7" applyNumberFormat="1" applyFont="1" applyFill="1" applyBorder="1"/>
    <xf numFmtId="171" fontId="0" fillId="0" borderId="5" xfId="7" applyNumberFormat="1" applyFont="1" applyFill="1" applyBorder="1"/>
    <xf numFmtId="0" fontId="1" fillId="0" borderId="0" xfId="17"/>
    <xf numFmtId="0" fontId="0" fillId="10" borderId="0" xfId="0" applyFill="1"/>
    <xf numFmtId="171" fontId="1" fillId="0" borderId="0" xfId="0" applyNumberFormat="1" applyFont="1"/>
    <xf numFmtId="171" fontId="0" fillId="0" borderId="7" xfId="0" applyNumberFormat="1" applyBorder="1"/>
    <xf numFmtId="171" fontId="0" fillId="0" borderId="31" xfId="7" applyNumberFormat="1" applyFont="1" applyFill="1" applyBorder="1" applyAlignment="1">
      <alignment horizontal="center"/>
    </xf>
    <xf numFmtId="171" fontId="0" fillId="0" borderId="30" xfId="7" applyNumberFormat="1" applyFont="1" applyFill="1" applyBorder="1" applyAlignment="1">
      <alignment horizontal="center"/>
    </xf>
    <xf numFmtId="171" fontId="0" fillId="0" borderId="32" xfId="7" applyNumberFormat="1" applyFont="1" applyFill="1" applyBorder="1" applyAlignment="1">
      <alignment horizontal="center"/>
    </xf>
    <xf numFmtId="171" fontId="0" fillId="0" borderId="35" xfId="7" applyNumberFormat="1" applyFont="1" applyFill="1" applyBorder="1" applyAlignment="1">
      <alignment horizontal="center"/>
    </xf>
    <xf numFmtId="171" fontId="0" fillId="0" borderId="47" xfId="7" applyNumberFormat="1" applyFont="1" applyFill="1" applyBorder="1" applyAlignment="1">
      <alignment horizontal="center"/>
    </xf>
    <xf numFmtId="171" fontId="0" fillId="0" borderId="21" xfId="7" applyNumberFormat="1" applyFont="1" applyFill="1" applyBorder="1"/>
    <xf numFmtId="171" fontId="1" fillId="0" borderId="7" xfId="7" applyNumberFormat="1" applyFont="1" applyFill="1" applyBorder="1" applyAlignment="1">
      <alignment horizontal="center"/>
    </xf>
    <xf numFmtId="0" fontId="13" fillId="0" borderId="0" xfId="0" applyFont="1" applyAlignment="1">
      <alignment horizontal="center" vertical="center" textRotation="90" wrapText="1"/>
    </xf>
    <xf numFmtId="171" fontId="0" fillId="0" borderId="0" xfId="22" applyNumberFormat="1" applyFont="1" applyFill="1" applyAlignment="1">
      <alignment horizontal="center"/>
    </xf>
    <xf numFmtId="0" fontId="1" fillId="0" borderId="0" xfId="0" applyFont="1" applyAlignment="1">
      <alignment horizontal="center"/>
    </xf>
    <xf numFmtId="0" fontId="1" fillId="0" borderId="7" xfId="0" applyFont="1" applyBorder="1" applyAlignment="1">
      <alignment horizontal="center"/>
    </xf>
    <xf numFmtId="168" fontId="1" fillId="0" borderId="0" xfId="22" applyNumberFormat="1" applyFont="1" applyFill="1" applyBorder="1" applyAlignment="1">
      <alignment horizontal="center"/>
    </xf>
    <xf numFmtId="168" fontId="1" fillId="0" borderId="5" xfId="22" applyNumberFormat="1" applyFont="1" applyFill="1" applyBorder="1" applyAlignment="1">
      <alignment horizontal="center"/>
    </xf>
    <xf numFmtId="168" fontId="1" fillId="0" borderId="7" xfId="22" applyNumberFormat="1" applyFont="1" applyFill="1" applyBorder="1" applyAlignment="1">
      <alignment horizontal="center"/>
    </xf>
    <xf numFmtId="168" fontId="1" fillId="0" borderId="28" xfId="22" applyNumberFormat="1" applyFont="1" applyFill="1" applyBorder="1" applyAlignment="1">
      <alignment horizontal="center"/>
    </xf>
    <xf numFmtId="168" fontId="1" fillId="0" borderId="21" xfId="22" applyNumberFormat="1" applyFont="1" applyFill="1" applyBorder="1" applyAlignment="1">
      <alignment horizontal="center"/>
    </xf>
    <xf numFmtId="0" fontId="1" fillId="0" borderId="6" xfId="0" applyFont="1" applyBorder="1" applyAlignment="1">
      <alignment horizontal="center"/>
    </xf>
    <xf numFmtId="168" fontId="1" fillId="0" borderId="29" xfId="22" applyNumberFormat="1" applyFont="1" applyFill="1" applyBorder="1" applyAlignment="1">
      <alignment horizontal="center"/>
    </xf>
    <xf numFmtId="168" fontId="1" fillId="10" borderId="37" xfId="22" applyNumberFormat="1" applyFont="1" applyFill="1" applyBorder="1" applyAlignment="1">
      <alignment horizontal="center"/>
    </xf>
    <xf numFmtId="168" fontId="1" fillId="10" borderId="36" xfId="22" applyNumberFormat="1" applyFont="1" applyFill="1" applyBorder="1" applyAlignment="1">
      <alignment horizontal="center"/>
    </xf>
    <xf numFmtId="168" fontId="1" fillId="0" borderId="46" xfId="22" applyNumberFormat="1" applyFont="1" applyFill="1" applyBorder="1" applyAlignment="1">
      <alignment horizontal="center"/>
    </xf>
    <xf numFmtId="168" fontId="1" fillId="0" borderId="38" xfId="22" applyNumberFormat="1" applyFont="1" applyFill="1" applyBorder="1" applyAlignment="1">
      <alignment horizontal="center"/>
    </xf>
    <xf numFmtId="168" fontId="1" fillId="0" borderId="31" xfId="22" applyNumberFormat="1" applyFont="1" applyFill="1" applyBorder="1" applyAlignment="1">
      <alignment horizontal="center"/>
    </xf>
    <xf numFmtId="168" fontId="1" fillId="0" borderId="6" xfId="22" applyNumberFormat="1" applyFont="1" applyFill="1" applyBorder="1" applyAlignment="1">
      <alignment horizontal="center"/>
    </xf>
    <xf numFmtId="168" fontId="1" fillId="0" borderId="39" xfId="22" applyNumberFormat="1" applyFont="1" applyFill="1" applyBorder="1" applyAlignment="1">
      <alignment horizontal="center"/>
    </xf>
    <xf numFmtId="168" fontId="1" fillId="0" borderId="50" xfId="22" applyNumberFormat="1" applyFont="1" applyFill="1" applyBorder="1" applyAlignment="1">
      <alignment horizontal="center"/>
    </xf>
    <xf numFmtId="168" fontId="1" fillId="0" borderId="48" xfId="22" applyNumberFormat="1" applyFont="1" applyFill="1" applyBorder="1" applyAlignment="1">
      <alignment horizontal="center"/>
    </xf>
    <xf numFmtId="168" fontId="1" fillId="0" borderId="49" xfId="22" applyNumberFormat="1" applyFont="1" applyFill="1" applyBorder="1" applyAlignment="1">
      <alignment horizontal="center"/>
    </xf>
    <xf numFmtId="168" fontId="1" fillId="0" borderId="51" xfId="22" applyNumberFormat="1" applyFont="1" applyFill="1" applyBorder="1" applyAlignment="1">
      <alignment horizontal="center"/>
    </xf>
    <xf numFmtId="0" fontId="39" fillId="9" borderId="1" xfId="0" applyFont="1" applyFill="1" applyBorder="1" applyAlignment="1">
      <alignment horizontal="center" vertical="center" wrapText="1"/>
    </xf>
    <xf numFmtId="0" fontId="38" fillId="0" borderId="25" xfId="0" applyFont="1" applyBorder="1" applyAlignment="1">
      <alignment horizontal="left" vertical="center" wrapText="1"/>
    </xf>
    <xf numFmtId="0" fontId="38" fillId="0" borderId="26" xfId="0" applyFont="1" applyBorder="1" applyAlignment="1">
      <alignment horizontal="left" vertical="center" wrapText="1"/>
    </xf>
    <xf numFmtId="0" fontId="38" fillId="0" borderId="27" xfId="0" applyFont="1" applyBorder="1" applyAlignment="1">
      <alignment horizontal="left" vertical="center" wrapText="1"/>
    </xf>
    <xf numFmtId="0" fontId="38" fillId="0" borderId="24" xfId="0" applyFont="1" applyBorder="1" applyAlignment="1">
      <alignment horizontal="left" vertical="center" wrapText="1"/>
    </xf>
    <xf numFmtId="0" fontId="13" fillId="0" borderId="6" xfId="0" applyFont="1" applyBorder="1" applyAlignment="1">
      <alignment horizontal="center" vertical="center" textRotation="90" wrapText="1"/>
    </xf>
    <xf numFmtId="0" fontId="13" fillId="0" borderId="0" xfId="0" applyFont="1" applyAlignment="1">
      <alignment horizontal="center" vertical="center" textRotation="90" wrapText="1"/>
    </xf>
    <xf numFmtId="0" fontId="0" fillId="0" borderId="0" xfId="0" applyAlignment="1">
      <alignment horizontal="center" vertical="center" textRotation="90" wrapText="1"/>
    </xf>
    <xf numFmtId="0" fontId="5" fillId="2" borderId="6" xfId="12" applyFill="1" applyBorder="1" applyAlignment="1" applyProtection="1">
      <alignment horizontal="center" wrapText="1"/>
    </xf>
    <xf numFmtId="0" fontId="5" fillId="2" borderId="22" xfId="12" applyFill="1" applyBorder="1" applyAlignment="1" applyProtection="1">
      <alignment horizontal="center" wrapText="1"/>
    </xf>
    <xf numFmtId="0" fontId="13" fillId="0" borderId="19" xfId="0" applyFont="1" applyBorder="1" applyAlignment="1">
      <alignment horizontal="center" vertical="center" textRotation="90" wrapText="1"/>
    </xf>
    <xf numFmtId="0" fontId="13" fillId="0" borderId="8" xfId="0" applyFont="1" applyBorder="1" applyAlignment="1">
      <alignment horizontal="center" vertical="center" textRotation="90" wrapText="1"/>
    </xf>
    <xf numFmtId="0" fontId="13" fillId="0" borderId="20" xfId="0" applyFont="1" applyBorder="1" applyAlignment="1">
      <alignment horizontal="center" vertical="center" textRotation="90" wrapText="1"/>
    </xf>
    <xf numFmtId="0" fontId="5" fillId="2" borderId="6" xfId="12" applyFont="1" applyFill="1" applyBorder="1" applyAlignment="1" applyProtection="1">
      <alignment horizontal="center" wrapText="1"/>
    </xf>
    <xf numFmtId="0" fontId="0" fillId="0" borderId="8" xfId="0" applyBorder="1" applyAlignment="1">
      <alignment horizontal="center" vertical="center" textRotation="90" wrapText="1"/>
    </xf>
    <xf numFmtId="0" fontId="13" fillId="0" borderId="19" xfId="0" applyFont="1" applyBorder="1" applyAlignment="1">
      <alignment horizontal="center" vertical="center" textRotation="90"/>
    </xf>
    <xf numFmtId="0" fontId="13" fillId="0" borderId="8" xfId="0" applyFont="1" applyBorder="1" applyAlignment="1">
      <alignment horizontal="center" vertical="center" textRotation="90"/>
    </xf>
    <xf numFmtId="0" fontId="13" fillId="0" borderId="20" xfId="0" applyFont="1" applyBorder="1" applyAlignment="1">
      <alignment horizontal="center" vertical="center" textRotation="90"/>
    </xf>
    <xf numFmtId="0" fontId="0" fillId="0" borderId="8" xfId="0" applyBorder="1" applyAlignment="1"/>
    <xf numFmtId="0" fontId="1" fillId="0" borderId="0" xfId="0" applyFont="1" applyFill="1"/>
  </cellXfs>
  <cellStyles count="77">
    <cellStyle name="ArialBold8" xfId="1" xr:uid="{00000000-0005-0000-0000-000000000000}"/>
    <cellStyle name="ArialBold8 2" xfId="2" xr:uid="{00000000-0005-0000-0000-000001000000}"/>
    <cellStyle name="ArialBold8 3" xfId="3" xr:uid="{00000000-0005-0000-0000-000002000000}"/>
    <cellStyle name="ArialNormal8" xfId="4" xr:uid="{00000000-0005-0000-0000-000003000000}"/>
    <cellStyle name="ArialNormal8 2" xfId="5" xr:uid="{00000000-0005-0000-0000-000004000000}"/>
    <cellStyle name="ArialNormal8 3" xfId="6" xr:uid="{00000000-0005-0000-0000-000005000000}"/>
    <cellStyle name="Comma" xfId="7" builtinId="3"/>
    <cellStyle name="Grey" xfId="8" xr:uid="{00000000-0005-0000-0000-000007000000}"/>
    <cellStyle name="Grey 2" xfId="9" xr:uid="{00000000-0005-0000-0000-000008000000}"/>
    <cellStyle name="Grey 3" xfId="10" xr:uid="{00000000-0005-0000-0000-000009000000}"/>
    <cellStyle name="Header" xfId="11" xr:uid="{00000000-0005-0000-0000-00000A000000}"/>
    <cellStyle name="Hyperlink" xfId="12" builtinId="8"/>
    <cellStyle name="Input [yellow]" xfId="13" xr:uid="{00000000-0005-0000-0000-00000C000000}"/>
    <cellStyle name="Input [yellow] 2" xfId="14" xr:uid="{00000000-0005-0000-0000-00000D000000}"/>
    <cellStyle name="Input [yellow] 3" xfId="15" xr:uid="{00000000-0005-0000-0000-00000E000000}"/>
    <cellStyle name="Normal" xfId="0" builtinId="0"/>
    <cellStyle name="Normal - Style1" xfId="16" xr:uid="{00000000-0005-0000-0000-000010000000}"/>
    <cellStyle name="Normal 2" xfId="17" xr:uid="{00000000-0005-0000-0000-000011000000}"/>
    <cellStyle name="nplosion_borders" xfId="18" xr:uid="{00000000-0005-0000-0000-000012000000}"/>
    <cellStyle name="number" xfId="19" xr:uid="{00000000-0005-0000-0000-000013000000}"/>
    <cellStyle name="number 2" xfId="20" xr:uid="{00000000-0005-0000-0000-000014000000}"/>
    <cellStyle name="number 3" xfId="21" xr:uid="{00000000-0005-0000-0000-000015000000}"/>
    <cellStyle name="Percent" xfId="22" builtinId="5"/>
    <cellStyle name="Percent [2]" xfId="23" xr:uid="{00000000-0005-0000-0000-000017000000}"/>
    <cellStyle name="Percent [2] 2" xfId="24" xr:uid="{00000000-0005-0000-0000-000018000000}"/>
    <cellStyle name="Percent [2] 3" xfId="25" xr:uid="{00000000-0005-0000-0000-000019000000}"/>
    <cellStyle name="PSChar" xfId="26" xr:uid="{00000000-0005-0000-0000-00001A000000}"/>
    <cellStyle name="PSChar 2" xfId="27" xr:uid="{00000000-0005-0000-0000-00001B000000}"/>
    <cellStyle name="PSChar 3" xfId="28" xr:uid="{00000000-0005-0000-0000-00001C000000}"/>
    <cellStyle name="PSDate" xfId="29" xr:uid="{00000000-0005-0000-0000-00001D000000}"/>
    <cellStyle name="PSDate 2" xfId="30" xr:uid="{00000000-0005-0000-0000-00001E000000}"/>
    <cellStyle name="PSDate 3" xfId="31" xr:uid="{00000000-0005-0000-0000-00001F000000}"/>
    <cellStyle name="PSDec" xfId="32" xr:uid="{00000000-0005-0000-0000-000020000000}"/>
    <cellStyle name="PSDec 2" xfId="33" xr:uid="{00000000-0005-0000-0000-000021000000}"/>
    <cellStyle name="PSDec 3" xfId="34" xr:uid="{00000000-0005-0000-0000-000022000000}"/>
    <cellStyle name="PSHeading" xfId="35" xr:uid="{00000000-0005-0000-0000-000023000000}"/>
    <cellStyle name="PSHeading 2" xfId="36" xr:uid="{00000000-0005-0000-0000-000024000000}"/>
    <cellStyle name="PSHeading 3" xfId="37" xr:uid="{00000000-0005-0000-0000-000025000000}"/>
    <cellStyle name="PSInt" xfId="38" xr:uid="{00000000-0005-0000-0000-000026000000}"/>
    <cellStyle name="PSInt 2" xfId="39" xr:uid="{00000000-0005-0000-0000-000027000000}"/>
    <cellStyle name="PSInt 3" xfId="40" xr:uid="{00000000-0005-0000-0000-000028000000}"/>
    <cellStyle name="PSSpacer" xfId="41" xr:uid="{00000000-0005-0000-0000-000029000000}"/>
    <cellStyle name="PSSpacer 2" xfId="42" xr:uid="{00000000-0005-0000-0000-00002A000000}"/>
    <cellStyle name="PSSpacer 3" xfId="43" xr:uid="{00000000-0005-0000-0000-00002B000000}"/>
    <cellStyle name="s_HeaderLine" xfId="44" xr:uid="{00000000-0005-0000-0000-00002C000000}"/>
    <cellStyle name="s_HeaderLine 2" xfId="45" xr:uid="{00000000-0005-0000-0000-00002D000000}"/>
    <cellStyle name="s_HeaderLine 3" xfId="46" xr:uid="{00000000-0005-0000-0000-00002E000000}"/>
    <cellStyle name="s_PurpleHeader" xfId="47" xr:uid="{00000000-0005-0000-0000-00002F000000}"/>
    <cellStyle name="s_PurpleHeader 2" xfId="48" xr:uid="{00000000-0005-0000-0000-000030000000}"/>
    <cellStyle name="s_PurpleHeader 3" xfId="49" xr:uid="{00000000-0005-0000-0000-000031000000}"/>
    <cellStyle name="s_TotalBackground" xfId="50" xr:uid="{00000000-0005-0000-0000-000032000000}"/>
    <cellStyle name="s_TotalBackground 2" xfId="51" xr:uid="{00000000-0005-0000-0000-000033000000}"/>
    <cellStyle name="s_TotalBackground 3" xfId="52" xr:uid="{00000000-0005-0000-0000-000034000000}"/>
    <cellStyle name="Style 21" xfId="53" xr:uid="{00000000-0005-0000-0000-000035000000}"/>
    <cellStyle name="Style 21 2" xfId="54" xr:uid="{00000000-0005-0000-0000-000036000000}"/>
    <cellStyle name="Style 21 3" xfId="55" xr:uid="{00000000-0005-0000-0000-000037000000}"/>
    <cellStyle name="Style 22" xfId="56" xr:uid="{00000000-0005-0000-0000-000038000000}"/>
    <cellStyle name="Style 22 2" xfId="57" xr:uid="{00000000-0005-0000-0000-000039000000}"/>
    <cellStyle name="Style 22 3" xfId="58" xr:uid="{00000000-0005-0000-0000-00003A000000}"/>
    <cellStyle name="Style 23" xfId="59" xr:uid="{00000000-0005-0000-0000-00003B000000}"/>
    <cellStyle name="Style 23 2" xfId="60" xr:uid="{00000000-0005-0000-0000-00003C000000}"/>
    <cellStyle name="Style 23 3" xfId="61" xr:uid="{00000000-0005-0000-0000-00003D000000}"/>
    <cellStyle name="Style 24" xfId="62" xr:uid="{00000000-0005-0000-0000-00003E000000}"/>
    <cellStyle name="Style 24 2" xfId="63" xr:uid="{00000000-0005-0000-0000-00003F000000}"/>
    <cellStyle name="Style 24 3" xfId="64" xr:uid="{00000000-0005-0000-0000-000040000000}"/>
    <cellStyle name="Style 25" xfId="65" xr:uid="{00000000-0005-0000-0000-000041000000}"/>
    <cellStyle name="Style 25 2" xfId="66" xr:uid="{00000000-0005-0000-0000-000042000000}"/>
    <cellStyle name="Style 25 3" xfId="67" xr:uid="{00000000-0005-0000-0000-000043000000}"/>
    <cellStyle name="Style 26" xfId="68" xr:uid="{00000000-0005-0000-0000-000044000000}"/>
    <cellStyle name="Style 26 2" xfId="69" xr:uid="{00000000-0005-0000-0000-000045000000}"/>
    <cellStyle name="Style 26 3" xfId="70" xr:uid="{00000000-0005-0000-0000-000046000000}"/>
    <cellStyle name="Text Heading" xfId="71" xr:uid="{00000000-0005-0000-0000-000047000000}"/>
    <cellStyle name="Text Heading 2" xfId="72" xr:uid="{00000000-0005-0000-0000-000048000000}"/>
    <cellStyle name="Text Heading 3" xfId="73" xr:uid="{00000000-0005-0000-0000-000049000000}"/>
    <cellStyle name="title" xfId="74" xr:uid="{00000000-0005-0000-0000-00004A000000}"/>
    <cellStyle name="title 2" xfId="75" xr:uid="{00000000-0005-0000-0000-00004B000000}"/>
    <cellStyle name="title 3" xfId="76" xr:uid="{00000000-0005-0000-0000-00004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7620</xdr:colOff>
      <xdr:row>3</xdr:row>
      <xdr:rowOff>29210</xdr:rowOff>
    </xdr:from>
    <xdr:to>
      <xdr:col>5</xdr:col>
      <xdr:colOff>3622063</xdr:colOff>
      <xdr:row>13</xdr:row>
      <xdr:rowOff>85725</xdr:rowOff>
    </xdr:to>
    <xdr:sp macro="" textlink="">
      <xdr:nvSpPr>
        <xdr:cNvPr id="7584" name="TextBox 1">
          <a:extLst>
            <a:ext uri="{FF2B5EF4-FFF2-40B4-BE49-F238E27FC236}">
              <a16:creationId xmlns:a16="http://schemas.microsoft.com/office/drawing/2014/main" id="{00000000-0008-0000-0100-0000A01D0000}"/>
            </a:ext>
          </a:extLst>
        </xdr:cNvPr>
        <xdr:cNvSpPr txBox="1">
          <a:spLocks noChangeArrowheads="1"/>
        </xdr:cNvSpPr>
      </xdr:nvSpPr>
      <xdr:spPr bwMode="auto">
        <a:xfrm>
          <a:off x="245745" y="553085"/>
          <a:ext cx="9529468" cy="167576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lnSpc>
              <a:spcPts val="800"/>
            </a:lnSpc>
            <a:defRPr sz="1000"/>
          </a:pPr>
          <a:r>
            <a:rPr lang="en-NZ" sz="1100" b="1" i="0" strike="noStrike">
              <a:solidFill>
                <a:srgbClr val="000000"/>
              </a:solidFill>
              <a:latin typeface="Arial"/>
              <a:cs typeface="Arial"/>
            </a:rPr>
            <a:t>Spending</a:t>
          </a:r>
        </a:p>
        <a:p>
          <a:pPr algn="l" rtl="0">
            <a:lnSpc>
              <a:spcPts val="800"/>
            </a:lnSpc>
            <a:defRPr sz="1000"/>
          </a:pPr>
          <a:endParaRPr lang="en-NZ" sz="1100" b="1" i="0" strike="noStrike">
            <a:solidFill>
              <a:srgbClr val="000000"/>
            </a:solidFill>
            <a:latin typeface="Arial"/>
            <a:cs typeface="Arial"/>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NZ" sz="1100" b="0" i="0" strike="noStrike">
              <a:solidFill>
                <a:srgbClr val="000000"/>
              </a:solidFill>
              <a:latin typeface="Arial"/>
              <a:cs typeface="Arial"/>
            </a:rPr>
            <a:t>Financial net expenditure is included for the years 1972-1993 and equals the sum of cash payments less net lending. </a:t>
          </a:r>
          <a:r>
            <a:rPr kumimoji="0" lang="en-NZ" sz="1100" b="0" i="0" u="none" strike="noStrike" kern="0" cap="none" spc="0" normalizeH="0" baseline="0" noProof="0">
              <a:ln>
                <a:noFill/>
              </a:ln>
              <a:solidFill>
                <a:srgbClr val="000000"/>
              </a:solidFill>
              <a:effectLst/>
              <a:uLnTx/>
              <a:uFillTx/>
              <a:latin typeface="Arial"/>
              <a:ea typeface="+mn-ea"/>
              <a:cs typeface="Arial"/>
            </a:rPr>
            <a:t>Cash payments include current and capital outlays and are net of revenue from sales and user charges. </a:t>
          </a:r>
          <a:r>
            <a:rPr lang="en-NZ" sz="1100" b="0" i="0" strike="noStrike">
              <a:solidFill>
                <a:srgbClr val="000000"/>
              </a:solidFill>
              <a:latin typeface="Arial"/>
              <a:cs typeface="Arial"/>
            </a:rPr>
            <a:t>Net</a:t>
          </a:r>
          <a:r>
            <a:rPr lang="en-NZ" sz="1100" b="0" i="0" strike="noStrike" baseline="0">
              <a:solidFill>
                <a:srgbClr val="000000"/>
              </a:solidFill>
              <a:latin typeface="Arial"/>
              <a:cs typeface="Arial"/>
            </a:rPr>
            <a:t> lending is the </a:t>
          </a:r>
          <a:r>
            <a:rPr lang="en-NZ" sz="1100" b="0" i="0" strike="noStrike">
              <a:solidFill>
                <a:srgbClr val="000000"/>
              </a:solidFill>
              <a:latin typeface="Arial"/>
              <a:cs typeface="Arial"/>
            </a:rPr>
            <a:t>balance of advances, loan repayments and net equity investment.</a:t>
          </a:r>
        </a:p>
        <a:p>
          <a:pPr marL="0" marR="0" indent="0" algn="l" defTabSz="914400" rtl="0" eaLnBrk="1" fontAlgn="auto" latinLnBrk="0" hangingPunct="1">
            <a:lnSpc>
              <a:spcPts val="1100"/>
            </a:lnSpc>
            <a:spcBef>
              <a:spcPts val="0"/>
            </a:spcBef>
            <a:spcAft>
              <a:spcPts val="0"/>
            </a:spcAft>
            <a:buClrTx/>
            <a:buSzTx/>
            <a:buFontTx/>
            <a:buNone/>
            <a:tabLst/>
            <a:defRPr sz="1000"/>
          </a:pPr>
          <a:endParaRPr lang="en-NZ" sz="1100" b="0" i="0" strike="noStrike">
            <a:solidFill>
              <a:srgbClr val="000000"/>
            </a:solidFill>
            <a:latin typeface="Arial"/>
            <a:cs typeface="Arial"/>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NZ" sz="1100" b="0" i="0" strike="noStrike">
              <a:solidFill>
                <a:srgbClr val="000000"/>
              </a:solidFill>
              <a:latin typeface="Arial"/>
              <a:cs typeface="Arial"/>
            </a:rPr>
            <a:t>Between</a:t>
          </a:r>
          <a:r>
            <a:rPr lang="en-NZ" sz="1100" b="0" i="0" strike="noStrike" baseline="0">
              <a:solidFill>
                <a:srgbClr val="000000"/>
              </a:solidFill>
              <a:latin typeface="Arial"/>
              <a:cs typeface="Arial"/>
            </a:rPr>
            <a:t> </a:t>
          </a:r>
          <a:r>
            <a:rPr lang="en-NZ" sz="1100" b="0" i="0" strike="noStrike">
              <a:solidFill>
                <a:srgbClr val="000000"/>
              </a:solidFill>
              <a:latin typeface="Arial"/>
              <a:cs typeface="Arial"/>
            </a:rPr>
            <a:t>1987 and 1993, expenses are inclusive</a:t>
          </a:r>
          <a:r>
            <a:rPr lang="en-NZ" sz="1100" b="0" i="0" strike="noStrike" baseline="0">
              <a:solidFill>
                <a:srgbClr val="000000"/>
              </a:solidFill>
              <a:latin typeface="Arial"/>
              <a:cs typeface="Arial"/>
            </a:rPr>
            <a:t> of GST (introduced in 1986).</a:t>
          </a:r>
          <a:endParaRPr lang="en-NZ" sz="1100" b="0" i="0" strike="noStrike">
            <a:solidFill>
              <a:srgbClr val="000000"/>
            </a:solidFill>
            <a:latin typeface="Arial"/>
            <a:cs typeface="Arial"/>
          </a:endParaRPr>
        </a:p>
        <a:p>
          <a:pPr algn="l" rtl="0">
            <a:lnSpc>
              <a:spcPts val="1000"/>
            </a:lnSpc>
            <a:defRPr sz="1000"/>
          </a:pPr>
          <a:r>
            <a:rPr lang="en-NZ" sz="1100" b="0" i="0" strike="noStrike">
              <a:solidFill>
                <a:srgbClr val="000000"/>
              </a:solidFill>
              <a:latin typeface="Arial"/>
              <a:cs typeface="Arial"/>
            </a:rPr>
            <a:t> </a:t>
          </a:r>
        </a:p>
        <a:p>
          <a:pPr algn="l" rtl="0">
            <a:lnSpc>
              <a:spcPts val="1100"/>
            </a:lnSpc>
            <a:defRPr sz="1000"/>
          </a:pPr>
          <a:r>
            <a:rPr lang="en-NZ" sz="1100" b="0" i="0" strike="noStrike">
              <a:solidFill>
                <a:srgbClr val="000000"/>
              </a:solidFill>
              <a:latin typeface="Arial"/>
              <a:cs typeface="Arial"/>
            </a:rPr>
            <a:t>From 1994 onwards, expenses are recorded for the core Crown and total Crown on an accrual basis.</a:t>
          </a:r>
          <a:r>
            <a:rPr lang="en-NZ" sz="1100" b="0" i="0" strike="noStrike" baseline="0">
              <a:solidFill>
                <a:srgbClr val="000000"/>
              </a:solidFill>
              <a:latin typeface="Arial"/>
              <a:cs typeface="Arial"/>
            </a:rPr>
            <a:t> </a:t>
          </a:r>
          <a:r>
            <a:rPr lang="en-NZ" sz="1100" b="0" i="0" strike="noStrike">
              <a:solidFill>
                <a:srgbClr val="000000"/>
              </a:solidFill>
              <a:latin typeface="Arial"/>
              <a:cs typeface="Arial"/>
            </a:rPr>
            <a:t>Expenses include items such as depreciation on physical assets, but does not include capital spending.</a:t>
          </a:r>
        </a:p>
        <a:p>
          <a:pPr algn="l" rtl="0">
            <a:lnSpc>
              <a:spcPts val="1000"/>
            </a:lnSpc>
            <a:defRPr sz="1000"/>
          </a:pPr>
          <a:endParaRPr lang="en-NZ" sz="1100" b="0" i="0" strike="noStrike">
            <a:solidFill>
              <a:srgbClr val="000000"/>
            </a:solidFill>
            <a:latin typeface="Arial"/>
            <a:cs typeface="Arial"/>
          </a:endParaRPr>
        </a:p>
        <a:p>
          <a:pPr algn="l" rtl="0">
            <a:lnSpc>
              <a:spcPts val="1000"/>
            </a:lnSpc>
            <a:defRPr sz="1000"/>
          </a:pPr>
          <a:endParaRPr lang="en-NZ" sz="1100" b="0" i="0" strike="noStrike">
            <a:solidFill>
              <a:srgbClr val="000000"/>
            </a:solidFill>
            <a:latin typeface="Arial"/>
            <a:cs typeface="Arial"/>
          </a:endParaRPr>
        </a:p>
        <a:p>
          <a:pPr algn="l" rtl="0">
            <a:lnSpc>
              <a:spcPts val="1100"/>
            </a:lnSpc>
            <a:defRPr sz="1000"/>
          </a:pPr>
          <a:r>
            <a:rPr lang="en-NZ" sz="1100" b="0" i="0" strike="noStrike">
              <a:solidFill>
                <a:srgbClr val="000000"/>
              </a:solidFill>
              <a:latin typeface="Calibri"/>
            </a:rPr>
            <a:t> </a:t>
          </a:r>
        </a:p>
        <a:p>
          <a:pPr algn="l" rtl="0">
            <a:lnSpc>
              <a:spcPts val="1100"/>
            </a:lnSpc>
            <a:defRPr sz="1000"/>
          </a:pPr>
          <a:endParaRPr lang="en-NZ" sz="1100" b="0" i="0" strike="noStrike">
            <a:solidFill>
              <a:srgbClr val="000000"/>
            </a:solidFill>
            <a:latin typeface="Calibri"/>
          </a:endParaRPr>
        </a:p>
      </xdr:txBody>
    </xdr:sp>
    <xdr:clientData/>
  </xdr:twoCellAnchor>
  <xdr:twoCellAnchor>
    <xdr:from>
      <xdr:col>1</xdr:col>
      <xdr:colOff>36195</xdr:colOff>
      <xdr:row>14</xdr:row>
      <xdr:rowOff>57151</xdr:rowOff>
    </xdr:from>
    <xdr:to>
      <xdr:col>5</xdr:col>
      <xdr:colOff>3560445</xdr:colOff>
      <xdr:row>48</xdr:row>
      <xdr:rowOff>47624</xdr:rowOff>
    </xdr:to>
    <xdr:sp macro="" textlink="">
      <xdr:nvSpPr>
        <xdr:cNvPr id="7585" name="TextBox 2">
          <a:extLst>
            <a:ext uri="{FF2B5EF4-FFF2-40B4-BE49-F238E27FC236}">
              <a16:creationId xmlns:a16="http://schemas.microsoft.com/office/drawing/2014/main" id="{00000000-0008-0000-0100-0000A11D0000}"/>
            </a:ext>
          </a:extLst>
        </xdr:cNvPr>
        <xdr:cNvSpPr txBox="1">
          <a:spLocks noChangeArrowheads="1"/>
        </xdr:cNvSpPr>
      </xdr:nvSpPr>
      <xdr:spPr bwMode="auto">
        <a:xfrm>
          <a:off x="274320" y="2362201"/>
          <a:ext cx="9458325" cy="5495923"/>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NZ" sz="1100" b="1" i="0" strike="noStrike">
              <a:solidFill>
                <a:srgbClr val="000000"/>
              </a:solidFill>
              <a:latin typeface="Arial"/>
              <a:cs typeface="Arial"/>
            </a:rPr>
            <a:t>Core Crown Expenses by Functional Classification </a:t>
          </a:r>
        </a:p>
        <a:p>
          <a:pPr algn="l" rtl="0">
            <a:defRPr sz="1000"/>
          </a:pPr>
          <a:endParaRPr lang="en-NZ" sz="1100" b="1" i="0" strike="noStrike">
            <a:solidFill>
              <a:srgbClr val="000000"/>
            </a:solidFill>
            <a:latin typeface="Arial"/>
            <a:cs typeface="Arial"/>
          </a:endParaRPr>
        </a:p>
        <a:p>
          <a:pPr algn="l" rtl="0">
            <a:defRPr sz="1000"/>
          </a:pPr>
          <a:r>
            <a:rPr lang="en-NZ" sz="1100" b="0" i="0" strike="noStrike">
              <a:solidFill>
                <a:srgbClr val="000000"/>
              </a:solidFill>
              <a:latin typeface="Arial"/>
              <a:cs typeface="Arial"/>
            </a:rPr>
            <a:t>Core Crown expenses are recorded by functional classification based on the United Nations “Classification of the Functions of Government” (COFOG) standard. Some series are  further aggregated, specifically: </a:t>
          </a:r>
        </a:p>
        <a:p>
          <a:pPr algn="l" rtl="0">
            <a:defRPr sz="1000"/>
          </a:pPr>
          <a:r>
            <a:rPr lang="en-NZ" sz="1100" b="0" i="0" strike="noStrike">
              <a:solidFill>
                <a:srgbClr val="000000"/>
              </a:solidFill>
              <a:latin typeface="Arial"/>
              <a:cs typeface="Arial"/>
            </a:rPr>
            <a:t>  • “Social Security and Welfare”, and Government Superannuation Fund”;</a:t>
          </a:r>
        </a:p>
        <a:p>
          <a:pPr algn="l" rtl="0">
            <a:defRPr sz="1000"/>
          </a:pPr>
          <a:r>
            <a:rPr lang="en-NZ" sz="1100" b="0" i="0" strike="noStrike">
              <a:solidFill>
                <a:srgbClr val="000000"/>
              </a:solidFill>
              <a:latin typeface="Arial"/>
              <a:cs typeface="Arial"/>
            </a:rPr>
            <a:t>  </a:t>
          </a:r>
          <a:r>
            <a:rPr lang="en-NZ" sz="1000" b="0" i="0">
              <a:latin typeface="+mn-lt"/>
              <a:ea typeface="+mn-ea"/>
              <a:cs typeface="+mn-cs"/>
            </a:rPr>
            <a:t>•</a:t>
          </a:r>
          <a:r>
            <a:rPr lang="en-NZ" sz="1100" b="0" i="0" strike="noStrike">
              <a:solidFill>
                <a:srgbClr val="000000"/>
              </a:solidFill>
              <a:latin typeface="Arial"/>
              <a:cs typeface="Arial"/>
            </a:rPr>
            <a:t> “Heritage, culture and recreation”, “Primary services”, “Housing and community development” and "Other".</a:t>
          </a:r>
        </a:p>
        <a:p>
          <a:pPr algn="l" rtl="0">
            <a:defRPr sz="1000"/>
          </a:pPr>
          <a:r>
            <a:rPr lang="en-NZ" sz="1100" b="0" i="0" strike="noStrike">
              <a:solidFill>
                <a:srgbClr val="000000"/>
              </a:solidFill>
              <a:latin typeface="Arial"/>
              <a:cs typeface="Arial"/>
            </a:rPr>
            <a:t> </a:t>
          </a:r>
          <a:endParaRPr lang="en-NZ" sz="1100" b="0" i="0" strike="noStrike">
            <a:solidFill>
              <a:sysClr val="windowText" lastClr="000000"/>
            </a:solidFill>
            <a:latin typeface="Arial"/>
            <a:cs typeface="Arial"/>
          </a:endParaRPr>
        </a:p>
        <a:p>
          <a:pPr algn="l" rtl="0">
            <a:defRPr sz="1000"/>
          </a:pPr>
          <a:r>
            <a:rPr lang="en-NZ" sz="1100" b="0" i="0" strike="noStrike">
              <a:solidFill>
                <a:sysClr val="windowText" lastClr="000000"/>
              </a:solidFill>
              <a:latin typeface="Arial"/>
              <a:cs typeface="Arial"/>
            </a:rPr>
            <a:t>Pre-1994 cash expenditure series used a different classification system and the aggregates have been reclassified under COFOG headings. However, classifications of the components of these aggregates are not necessarily consistent with the COFOG standard.</a:t>
          </a:r>
        </a:p>
        <a:p>
          <a:pPr algn="l" rtl="0">
            <a:defRPr sz="1000"/>
          </a:pPr>
          <a:endParaRPr lang="en-NZ" sz="1100" b="0" i="0" strike="noStrike">
            <a:solidFill>
              <a:sysClr val="windowText" lastClr="000000"/>
            </a:solidFill>
            <a:latin typeface="Arial"/>
            <a:cs typeface="Arial"/>
          </a:endParaRPr>
        </a:p>
        <a:p>
          <a:pPr algn="l" rtl="0">
            <a:defRPr sz="1000"/>
          </a:pPr>
          <a:r>
            <a:rPr lang="en-NZ" sz="1100" b="0" i="0" strike="noStrike">
              <a:solidFill>
                <a:sysClr val="windowText" lastClr="000000"/>
              </a:solidFill>
              <a:latin typeface="Arial"/>
              <a:cs typeface="Arial"/>
            </a:rPr>
            <a:t>Note that prior to 1994, the sum of expenses across functional classifications does not equal financial net expenditure because financial net expenditure adjusts for net lending transactions which cannot easily be allocated across functional areas of spending.</a:t>
          </a:r>
          <a:r>
            <a:rPr lang="en-NZ" sz="1200" b="0" i="0" strike="noStrike">
              <a:solidFill>
                <a:sysClr val="windowText" lastClr="000000"/>
              </a:solidFill>
              <a:latin typeface="Arial"/>
              <a:cs typeface="Arial"/>
            </a:rPr>
            <a:t> </a:t>
          </a:r>
        </a:p>
        <a:p>
          <a:pPr algn="l" rtl="0">
            <a:defRPr sz="1000"/>
          </a:pPr>
          <a:endParaRPr lang="en-NZ" sz="1100" b="0" i="0" strike="noStrike">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100" b="0" i="0" strike="noStrike">
              <a:solidFill>
                <a:srgbClr val="000000"/>
              </a:solidFill>
              <a:latin typeface="Arial"/>
              <a:cs typeface="Arial"/>
            </a:rPr>
            <a:t>For 1994 to</a:t>
          </a:r>
          <a:r>
            <a:rPr lang="en-NZ" sz="1100" b="0" i="0" strike="noStrike" baseline="0">
              <a:solidFill>
                <a:srgbClr val="000000"/>
              </a:solidFill>
              <a:latin typeface="Arial"/>
              <a:cs typeface="Arial"/>
            </a:rPr>
            <a:t> 1996</a:t>
          </a:r>
          <a:r>
            <a:rPr lang="en-NZ" sz="1100" b="0" i="0" strike="noStrike">
              <a:solidFill>
                <a:srgbClr val="000000"/>
              </a:solidFill>
              <a:latin typeface="Arial"/>
              <a:cs typeface="Arial"/>
            </a:rPr>
            <a:t>, expenses are prepared under</a:t>
          </a:r>
          <a:r>
            <a:rPr lang="en-NZ" sz="1100" b="0" i="0" strike="noStrike" baseline="0">
              <a:solidFill>
                <a:srgbClr val="000000"/>
              </a:solidFill>
              <a:latin typeface="Arial"/>
              <a:cs typeface="Arial"/>
            </a:rPr>
            <a:t> the </a:t>
          </a:r>
          <a:r>
            <a:rPr kumimoji="0" lang="en-NZ" sz="1100" b="0" i="0" u="none" strike="noStrike" kern="0" cap="none" spc="0" normalizeH="0" baseline="0" noProof="0">
              <a:ln>
                <a:noFill/>
              </a:ln>
              <a:solidFill>
                <a:srgbClr val="000000"/>
              </a:solidFill>
              <a:effectLst/>
              <a:uLnTx/>
              <a:uFillTx/>
              <a:latin typeface="Arial"/>
              <a:ea typeface="+mn-ea"/>
              <a:cs typeface="Arial"/>
            </a:rPr>
            <a:t>"old-GAAP"</a:t>
          </a:r>
          <a:r>
            <a:rPr lang="en-NZ" sz="1000" b="0" i="0" baseline="30000">
              <a:latin typeface="+mn-lt"/>
              <a:ea typeface="+mn-ea"/>
              <a:cs typeface="+mn-cs"/>
            </a:rPr>
            <a:t>1</a:t>
          </a:r>
          <a:r>
            <a:rPr lang="en-NZ" sz="1100" b="0" i="0" strike="noStrike">
              <a:solidFill>
                <a:srgbClr val="000000"/>
              </a:solidFill>
              <a:latin typeface="Arial"/>
              <a:cs typeface="Arial"/>
            </a:rPr>
            <a:t>  framework. From 1997 to 2004, they are prepared based</a:t>
          </a:r>
          <a:r>
            <a:rPr lang="en-NZ" sz="1100" b="0" i="0" strike="noStrike" baseline="0">
              <a:solidFill>
                <a:srgbClr val="000000"/>
              </a:solidFill>
              <a:latin typeface="Arial"/>
              <a:cs typeface="Arial"/>
            </a:rPr>
            <a:t> on</a:t>
          </a:r>
          <a:r>
            <a:rPr lang="en-NZ" sz="1100" b="0" i="0" strike="noStrike">
              <a:solidFill>
                <a:srgbClr val="000000"/>
              </a:solidFill>
              <a:latin typeface="Arial"/>
              <a:cs typeface="Arial"/>
            </a:rPr>
            <a:t> IFRS</a:t>
          </a:r>
          <a:r>
            <a:rPr lang="en-NZ" sz="1000" b="0" i="0" baseline="30000">
              <a:latin typeface="+mn-lt"/>
              <a:ea typeface="+mn-ea"/>
              <a:cs typeface="+mn-cs"/>
            </a:rPr>
            <a:t>2</a:t>
          </a:r>
          <a:r>
            <a:rPr lang="en-NZ" sz="1100" b="0" i="0" strike="noStrike" baseline="0">
              <a:solidFill>
                <a:srgbClr val="000000"/>
              </a:solidFill>
              <a:latin typeface="Arial"/>
              <a:ea typeface="+mn-ea"/>
              <a:cs typeface="Arial"/>
            </a:rPr>
            <a:t>. </a:t>
          </a:r>
          <a:r>
            <a:rPr lang="en-NZ" sz="1100" b="0" i="0" strike="noStrike">
              <a:solidFill>
                <a:srgbClr val="000000"/>
              </a:solidFill>
              <a:latin typeface="Arial"/>
              <a:cs typeface="Arial"/>
            </a:rPr>
            <a:t>The difference between old GAAP and IFRS is largely due to foreign exchange gains and losses included in old-GAAP numbers, and foreign</a:t>
          </a:r>
          <a:r>
            <a:rPr lang="en-NZ" sz="1100" b="0" i="0" strike="noStrike" baseline="0">
              <a:solidFill>
                <a:srgbClr val="000000"/>
              </a:solidFill>
              <a:latin typeface="Arial"/>
              <a:cs typeface="Arial"/>
            </a:rPr>
            <a:t> exchange net gains are included for 1994 to 1996 to reconcile the functional series to total core Crown expenses for these years</a:t>
          </a:r>
          <a:r>
            <a:rPr lang="en-NZ" sz="1100" b="0" i="0" strike="noStrike">
              <a:solidFill>
                <a:srgbClr val="000000"/>
              </a:solidFill>
              <a:latin typeface="Arial"/>
              <a:cs typeface="Arial"/>
            </a:rPr>
            <a:t>.</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100" b="0" i="0" strike="noStrike">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100" b="0" i="0" strike="noStrike">
              <a:solidFill>
                <a:srgbClr val="000000"/>
              </a:solidFill>
              <a:latin typeface="Arial"/>
              <a:cs typeface="Arial"/>
            </a:rPr>
            <a:t>From</a:t>
          </a:r>
          <a:r>
            <a:rPr lang="en-NZ" sz="1100" b="0" i="0" strike="noStrike" baseline="0">
              <a:solidFill>
                <a:srgbClr val="000000"/>
              </a:solidFill>
              <a:latin typeface="Arial"/>
              <a:cs typeface="Arial"/>
            </a:rPr>
            <a:t> 2005 onwards, expenses are prepared based on PBE Standards</a:t>
          </a:r>
          <a:r>
            <a:rPr lang="en-NZ" sz="1100" b="0" i="0" strike="noStrike" baseline="30000">
              <a:solidFill>
                <a:srgbClr val="000000"/>
              </a:solidFill>
              <a:latin typeface="Arial"/>
              <a:cs typeface="Arial"/>
            </a:rPr>
            <a:t>3</a:t>
          </a:r>
          <a:r>
            <a:rPr lang="en-NZ" sz="1100" b="0" i="0" strike="noStrike" baseline="0">
              <a:solidFill>
                <a:srgbClr val="000000"/>
              </a:solidFill>
              <a:latin typeface="Arial"/>
              <a:cs typeface="Arial"/>
            </a:rPr>
            <a:t>.  The difference between IFRS and PBE Standards is a largely offsetting reduction in both core Crown expenses and core Crown revenue.  Note 33 in the 30 June 2015 financial statements of Government outlines the impact of the adoption of PBE Standards.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100" b="0" i="0"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100" b="0" i="0" strike="noStrike" baseline="0">
              <a:solidFill>
                <a:srgbClr val="000000"/>
              </a:solidFill>
              <a:latin typeface="Arial"/>
              <a:cs typeface="Arial"/>
            </a:rPr>
            <a:t>For the year ended 30 June 2020 the financial statements adopted a number of new PBE standards</a:t>
          </a:r>
          <a:r>
            <a:rPr lang="en-NZ" sz="1100" b="0" i="0" strike="noStrike" baseline="30000">
              <a:solidFill>
                <a:srgbClr val="000000"/>
              </a:solidFill>
              <a:latin typeface="Arial"/>
              <a:cs typeface="Arial"/>
            </a:rPr>
            <a:t>3</a:t>
          </a:r>
          <a:r>
            <a:rPr lang="en-NZ" sz="1100" b="0" i="0" strike="noStrike" baseline="0">
              <a:solidFill>
                <a:srgbClr val="000000"/>
              </a:solidFill>
              <a:latin typeface="Arial"/>
              <a:cs typeface="Arial"/>
            </a:rPr>
            <a:t>.  The impact of these changes is reflected the 2019 and 2020 amounts included in this publication.  Note 28 in the 30 June 2020 financial statements of Government outlines the impact of these new standards.</a:t>
          </a:r>
          <a:endParaRPr lang="en-NZ" sz="1100" b="0" i="0" strike="noStrike">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NZ" sz="1000" b="0" i="0">
            <a:latin typeface="+mn-lt"/>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NZ" sz="1000" b="0" i="0">
              <a:latin typeface="+mn-lt"/>
              <a:ea typeface="+mn-ea"/>
              <a:cs typeface="+mn-cs"/>
            </a:rPr>
            <a:t>1. </a:t>
          </a:r>
          <a:r>
            <a:rPr lang="en-NZ" sz="900" b="0" i="0" strike="noStrike">
              <a:solidFill>
                <a:srgbClr val="000000"/>
              </a:solidFill>
              <a:latin typeface="Arial"/>
              <a:ea typeface="+mn-ea"/>
              <a:cs typeface="Arial"/>
            </a:rPr>
            <a:t>"old-GAAP"=Prior to July 2007, accrual financial data were prepared under the previous generally acceptable accounting practice ("old-GAAP") standards.</a:t>
          </a:r>
        </a:p>
        <a:p>
          <a:pPr algn="l" rtl="0">
            <a:defRPr sz="1000"/>
          </a:pPr>
          <a:endParaRPr lang="en-NZ" sz="1100" b="0" i="0" strike="noStrike">
            <a:solidFill>
              <a:srgbClr val="000000"/>
            </a:solidFill>
            <a:latin typeface="Arial"/>
            <a:cs typeface="Arial"/>
          </a:endParaRPr>
        </a:p>
        <a:p>
          <a:pPr algn="l" rtl="0">
            <a:defRPr sz="1000"/>
          </a:pPr>
          <a:r>
            <a:rPr lang="en-NZ" sz="900" b="0" i="0" strike="noStrike">
              <a:solidFill>
                <a:srgbClr val="000000"/>
              </a:solidFill>
              <a:latin typeface="Arial"/>
              <a:cs typeface="Arial"/>
            </a:rPr>
            <a:t>2. IFRS=International Financial Reporting Standards. From 1 July 2007 until 30 June 2014, the financial statements of Government have been prepared under the NZ equivalent to IFRS (NZ IFRS). Headline financial data prepared under the previous standard has been restated to be consistent with IFRS back to 1994.</a:t>
          </a:r>
        </a:p>
        <a:p>
          <a:pPr algn="l" rtl="0">
            <a:defRPr sz="1000"/>
          </a:pPr>
          <a:endParaRPr lang="en-NZ" sz="900" b="0" i="0" strike="noStrike">
            <a:solidFill>
              <a:srgbClr val="000000"/>
            </a:solidFill>
            <a:latin typeface="Arial"/>
            <a:cs typeface="Arial"/>
          </a:endParaRPr>
        </a:p>
        <a:p>
          <a:pPr algn="l" rtl="0">
            <a:defRPr sz="1000"/>
          </a:pPr>
          <a:r>
            <a:rPr lang="en-NZ" sz="900" b="0" i="0" strike="noStrike">
              <a:solidFill>
                <a:srgbClr val="000000"/>
              </a:solidFill>
              <a:latin typeface="Arial"/>
              <a:ea typeface="+mn-ea"/>
              <a:cs typeface="Arial"/>
            </a:rPr>
            <a:t>3.  PBE=Public Benefit Entity Standards.  From 1 July 2014 onwards, the financial statements of Government have been prepared under a PBE accounting standards basis.  Headline financial data prepared under the previous standards have been restated to be consistent with PBE Standards back to 2005</a:t>
          </a:r>
          <a:r>
            <a:rPr lang="en-NZ" sz="1100" b="0" i="0" strike="noStrike" baseline="0">
              <a:solidFill>
                <a:srgbClr val="000000"/>
              </a:solidFill>
              <a:latin typeface="Calibri"/>
            </a:rPr>
            <a:t>.</a:t>
          </a:r>
          <a:endParaRPr lang="en-NZ" sz="1100" b="0" i="0" strike="noStrike">
            <a:solidFill>
              <a:srgbClr val="000000"/>
            </a:solidFill>
            <a:latin typeface="Calibri"/>
          </a:endParaRPr>
        </a:p>
        <a:p>
          <a:pPr algn="l" rtl="0">
            <a:defRPr sz="1000"/>
          </a:pPr>
          <a:endParaRPr lang="en-NZ" sz="1100" b="0" i="0" strike="noStrike">
            <a:solidFill>
              <a:srgbClr val="000000"/>
            </a:solidFill>
            <a:latin typeface="Calibri"/>
          </a:endParaRPr>
        </a:p>
      </xdr:txBody>
    </xdr:sp>
    <xdr:clientData/>
  </xdr:twoCellAnchor>
  <xdr:twoCellAnchor>
    <xdr:from>
      <xdr:col>1</xdr:col>
      <xdr:colOff>0</xdr:colOff>
      <xdr:row>48</xdr:row>
      <xdr:rowOff>6350</xdr:rowOff>
    </xdr:from>
    <xdr:to>
      <xdr:col>5</xdr:col>
      <xdr:colOff>3511550</xdr:colOff>
      <xdr:row>79</xdr:row>
      <xdr:rowOff>77466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238125" y="7816850"/>
          <a:ext cx="9445625" cy="5090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100"/>
            </a:lnSpc>
          </a:pPr>
          <a:r>
            <a:rPr lang="en-NZ" sz="1100" b="1">
              <a:solidFill>
                <a:schemeClr val="dk1"/>
              </a:solidFill>
              <a:latin typeface="Arial" pitchFamily="34" charset="0"/>
              <a:ea typeface="+mn-ea"/>
              <a:cs typeface="Arial" pitchFamily="34" charset="0"/>
            </a:rPr>
            <a:t>Surplus/Deficit measures</a:t>
          </a:r>
        </a:p>
        <a:p>
          <a:pPr>
            <a:lnSpc>
              <a:spcPts val="1100"/>
            </a:lnSpc>
          </a:pPr>
          <a:endParaRPr lang="en-NZ" sz="1100" b="1">
            <a:solidFill>
              <a:schemeClr val="dk1"/>
            </a:solidFill>
            <a:latin typeface="Arial" pitchFamily="34" charset="0"/>
            <a:ea typeface="+mn-ea"/>
            <a:cs typeface="Arial" pitchFamily="34" charset="0"/>
          </a:endParaRPr>
        </a:p>
        <a:p>
          <a:pPr>
            <a:lnSpc>
              <a:spcPts val="1100"/>
            </a:lnSpc>
          </a:pPr>
          <a:r>
            <a:rPr lang="en-NZ" sz="1100" b="0" i="1">
              <a:solidFill>
                <a:sysClr val="windowText" lastClr="000000"/>
              </a:solidFill>
              <a:latin typeface="Arial" pitchFamily="34" charset="0"/>
              <a:ea typeface="+mn-ea"/>
              <a:cs typeface="Arial" pitchFamily="34" charset="0"/>
            </a:rPr>
            <a:t>Financial</a:t>
          </a:r>
          <a:r>
            <a:rPr lang="en-NZ" sz="1100" b="0" i="1" baseline="0">
              <a:solidFill>
                <a:sysClr val="windowText" lastClr="000000"/>
              </a:solidFill>
              <a:latin typeface="Arial" pitchFamily="34" charset="0"/>
              <a:ea typeface="+mn-ea"/>
              <a:cs typeface="Arial" pitchFamily="34" charset="0"/>
            </a:rPr>
            <a:t> Balance and </a:t>
          </a:r>
          <a:r>
            <a:rPr lang="en-NZ" sz="1100" b="0" i="1">
              <a:solidFill>
                <a:sysClr val="windowText" lastClr="000000"/>
              </a:solidFill>
              <a:latin typeface="Arial" pitchFamily="34" charset="0"/>
              <a:ea typeface="+mn-ea"/>
              <a:cs typeface="Arial" pitchFamily="34" charset="0"/>
            </a:rPr>
            <a:t>Adjusted Financial Balance</a:t>
          </a:r>
        </a:p>
        <a:p>
          <a:pPr>
            <a:lnSpc>
              <a:spcPts val="1100"/>
            </a:lnSpc>
          </a:pPr>
          <a:r>
            <a:rPr lang="en-NZ" sz="1100">
              <a:solidFill>
                <a:sysClr val="windowText" lastClr="000000"/>
              </a:solidFill>
              <a:latin typeface="Arial" pitchFamily="34" charset="0"/>
              <a:ea typeface="+mn-ea"/>
              <a:cs typeface="Arial" pitchFamily="34" charset="0"/>
            </a:rPr>
            <a:t>The Financial Balance is the difference between receipts and expenditure (current plus capital expenditure), excluding net lending transactions.  It measured the extent to which current plus recurring capital expenditure exceeded current revenue and thus measured the need to raise finance by raising net liabilities and/or selling assets.  </a:t>
          </a:r>
        </a:p>
        <a:p>
          <a:pPr>
            <a:lnSpc>
              <a:spcPts val="1100"/>
            </a:lnSpc>
          </a:pPr>
          <a:r>
            <a:rPr lang="en-NZ" sz="1100">
              <a:solidFill>
                <a:schemeClr val="dk1"/>
              </a:solidFill>
              <a:latin typeface="Arial" pitchFamily="34" charset="0"/>
              <a:ea typeface="+mn-ea"/>
              <a:cs typeface="Arial" pitchFamily="34" charset="0"/>
            </a:rPr>
            <a:t> </a:t>
          </a:r>
        </a:p>
        <a:p>
          <a:pPr>
            <a:lnSpc>
              <a:spcPts val="1100"/>
            </a:lnSpc>
          </a:pPr>
          <a:r>
            <a:rPr lang="en-NZ" sz="1100">
              <a:solidFill>
                <a:schemeClr val="dk1"/>
              </a:solidFill>
              <a:latin typeface="Arial" pitchFamily="34" charset="0"/>
              <a:ea typeface="+mn-ea"/>
              <a:cs typeface="Arial" pitchFamily="34" charset="0"/>
            </a:rPr>
            <a:t>The</a:t>
          </a:r>
          <a:r>
            <a:rPr lang="en-NZ" sz="1100" baseline="0">
              <a:solidFill>
                <a:schemeClr val="dk1"/>
              </a:solidFill>
              <a:latin typeface="Arial" pitchFamily="34" charset="0"/>
              <a:ea typeface="+mn-ea"/>
              <a:cs typeface="Arial" pitchFamily="34" charset="0"/>
            </a:rPr>
            <a:t> measure was stated as the Financial Balance until r</a:t>
          </a:r>
          <a:r>
            <a:rPr lang="en-NZ" sz="1100">
              <a:solidFill>
                <a:schemeClr val="dk1"/>
              </a:solidFill>
              <a:latin typeface="Arial" pitchFamily="34" charset="0"/>
              <a:ea typeface="+mn-ea"/>
              <a:cs typeface="Arial" pitchFamily="34" charset="0"/>
            </a:rPr>
            <a:t>efinements from 1991 onwards saw the adoption of the Adjusted Financial Balance. This removed non-forecast items and extraordinary receipts such as proceeds from forestry sales and currency realignments.</a:t>
          </a:r>
        </a:p>
        <a:p>
          <a:pPr>
            <a:lnSpc>
              <a:spcPts val="1100"/>
            </a:lnSpc>
          </a:pPr>
          <a:r>
            <a:rPr lang="en-AU" sz="1100">
              <a:solidFill>
                <a:schemeClr val="dk1"/>
              </a:solidFill>
              <a:latin typeface="Arial" pitchFamily="34" charset="0"/>
              <a:ea typeface="+mn-ea"/>
              <a:cs typeface="Arial" pitchFamily="34" charset="0"/>
            </a:rPr>
            <a:t> </a:t>
          </a:r>
          <a:endParaRPr lang="en-NZ" sz="1100">
            <a:solidFill>
              <a:schemeClr val="dk1"/>
            </a:solidFill>
            <a:latin typeface="Arial" pitchFamily="34" charset="0"/>
            <a:ea typeface="+mn-ea"/>
            <a:cs typeface="Arial" pitchFamily="34" charset="0"/>
          </a:endParaRPr>
        </a:p>
        <a:p>
          <a:pPr marL="0" indent="0">
            <a:lnSpc>
              <a:spcPts val="1100"/>
            </a:lnSpc>
          </a:pPr>
          <a:r>
            <a:rPr lang="en-NZ" sz="1100" b="0" i="1">
              <a:solidFill>
                <a:schemeClr val="dk1"/>
              </a:solidFill>
              <a:latin typeface="Arial" pitchFamily="34" charset="0"/>
              <a:ea typeface="+mn-ea"/>
              <a:cs typeface="Arial" pitchFamily="34" charset="0"/>
            </a:rPr>
            <a:t>Operating Balance</a:t>
          </a:r>
        </a:p>
        <a:p>
          <a:pPr>
            <a:lnSpc>
              <a:spcPts val="1100"/>
            </a:lnSpc>
          </a:pPr>
          <a:r>
            <a:rPr lang="en-AU" sz="1100">
              <a:solidFill>
                <a:schemeClr val="dk1"/>
              </a:solidFill>
              <a:latin typeface="Arial" pitchFamily="34" charset="0"/>
              <a:ea typeface="+mn-ea"/>
              <a:cs typeface="Arial" pitchFamily="34" charset="0"/>
            </a:rPr>
            <a:t>The operating balance (excluding minority</a:t>
          </a:r>
          <a:r>
            <a:rPr lang="en-AU" sz="1100" baseline="0">
              <a:solidFill>
                <a:schemeClr val="dk1"/>
              </a:solidFill>
              <a:latin typeface="Arial" pitchFamily="34" charset="0"/>
              <a:ea typeface="+mn-ea"/>
              <a:cs typeface="Arial" pitchFamily="34" charset="0"/>
            </a:rPr>
            <a:t> interests) </a:t>
          </a:r>
          <a:r>
            <a:rPr lang="en-AU" sz="1100">
              <a:solidFill>
                <a:schemeClr val="dk1"/>
              </a:solidFill>
              <a:latin typeface="Arial" pitchFamily="34" charset="0"/>
              <a:ea typeface="+mn-ea"/>
              <a:cs typeface="Arial" pitchFamily="34" charset="0"/>
            </a:rPr>
            <a:t>equals revenues less expenses, plus net gains and losses.  </a:t>
          </a:r>
          <a:endParaRPr lang="en-NZ" sz="1100">
            <a:solidFill>
              <a:schemeClr val="dk1"/>
            </a:solidFill>
            <a:latin typeface="Arial" pitchFamily="34" charset="0"/>
            <a:ea typeface="+mn-ea"/>
            <a:cs typeface="Arial" pitchFamily="34" charset="0"/>
          </a:endParaRPr>
        </a:p>
        <a:p>
          <a:pPr>
            <a:lnSpc>
              <a:spcPts val="1100"/>
            </a:lnSpc>
          </a:pPr>
          <a:r>
            <a:rPr lang="en-AU" sz="1100">
              <a:solidFill>
                <a:schemeClr val="dk1"/>
              </a:solidFill>
              <a:latin typeface="Arial" pitchFamily="34" charset="0"/>
              <a:ea typeface="+mn-ea"/>
              <a:cs typeface="Arial" pitchFamily="34" charset="0"/>
            </a:rPr>
            <a:t>The operating balance shows whether the government sector has generated enough revenues to cover its expenses in any given year.</a:t>
          </a:r>
          <a:endParaRPr lang="en-NZ" sz="1100">
            <a:solidFill>
              <a:schemeClr val="dk1"/>
            </a:solidFill>
            <a:latin typeface="Arial" pitchFamily="34" charset="0"/>
            <a:ea typeface="+mn-ea"/>
            <a:cs typeface="Arial" pitchFamily="34" charset="0"/>
          </a:endParaRPr>
        </a:p>
        <a:p>
          <a:pPr>
            <a:lnSpc>
              <a:spcPts val="1100"/>
            </a:lnSpc>
          </a:pPr>
          <a:r>
            <a:rPr lang="en-AU" sz="1100">
              <a:solidFill>
                <a:schemeClr val="dk1"/>
              </a:solidFill>
              <a:latin typeface="Arial" pitchFamily="34" charset="0"/>
              <a:ea typeface="+mn-ea"/>
              <a:cs typeface="Arial" pitchFamily="34" charset="0"/>
            </a:rPr>
            <a:t> </a:t>
          </a:r>
          <a:endParaRPr lang="en-NZ" sz="1100">
            <a:solidFill>
              <a:schemeClr val="dk1"/>
            </a:solidFill>
            <a:latin typeface="Arial" pitchFamily="34" charset="0"/>
            <a:ea typeface="+mn-ea"/>
            <a:cs typeface="Arial" pitchFamily="34" charset="0"/>
          </a:endParaRPr>
        </a:p>
        <a:p>
          <a:pPr>
            <a:lnSpc>
              <a:spcPts val="1100"/>
            </a:lnSpc>
          </a:pPr>
          <a:r>
            <a:rPr lang="en-AU" sz="1100">
              <a:solidFill>
                <a:schemeClr val="dk1"/>
              </a:solidFill>
              <a:latin typeface="Arial" pitchFamily="34" charset="0"/>
              <a:ea typeface="+mn-ea"/>
              <a:cs typeface="Arial" pitchFamily="34" charset="0"/>
            </a:rPr>
            <a:t>Not all of the operating balance is available to be drawn upon to fund core Crown operations, as current policy is for the NZS Fund, SOEs and CEs to retain a portion of their surpluses for the purposes of achieving their long-term objectives.</a:t>
          </a:r>
          <a:endParaRPr lang="en-NZ" sz="1100">
            <a:solidFill>
              <a:schemeClr val="dk1"/>
            </a:solidFill>
            <a:latin typeface="Arial" pitchFamily="34" charset="0"/>
            <a:ea typeface="+mn-ea"/>
            <a:cs typeface="Arial" pitchFamily="34" charset="0"/>
          </a:endParaRPr>
        </a:p>
        <a:p>
          <a:pPr>
            <a:lnSpc>
              <a:spcPts val="1100"/>
            </a:lnSpc>
          </a:pPr>
          <a:r>
            <a:rPr lang="en-AU" sz="1100">
              <a:solidFill>
                <a:schemeClr val="dk1"/>
              </a:solidFill>
              <a:latin typeface="Arial" pitchFamily="34" charset="0"/>
              <a:ea typeface="+mn-ea"/>
              <a:cs typeface="Arial" pitchFamily="34" charset="0"/>
            </a:rPr>
            <a:t> </a:t>
          </a:r>
          <a:endParaRPr lang="en-NZ" sz="1100">
            <a:solidFill>
              <a:schemeClr val="dk1"/>
            </a:solidFill>
            <a:latin typeface="Arial" pitchFamily="34" charset="0"/>
            <a:ea typeface="+mn-ea"/>
            <a:cs typeface="Arial" pitchFamily="34" charset="0"/>
          </a:endParaRPr>
        </a:p>
        <a:p>
          <a:pPr marL="0" indent="0">
            <a:lnSpc>
              <a:spcPts val="1100"/>
            </a:lnSpc>
          </a:pPr>
          <a:r>
            <a:rPr lang="en-NZ" sz="1100" b="0" i="1">
              <a:solidFill>
                <a:schemeClr val="dk1"/>
              </a:solidFill>
              <a:latin typeface="Arial" pitchFamily="34" charset="0"/>
              <a:ea typeface="+mn-ea"/>
              <a:cs typeface="Arial" pitchFamily="34" charset="0"/>
            </a:rPr>
            <a:t>Operating Balance Before Gains and Losses (OBEGAL)</a:t>
          </a:r>
        </a:p>
        <a:p>
          <a:pPr marL="0" marR="0" lvl="0" indent="0" defTabSz="914400" eaLnBrk="1" fontAlgn="auto" latinLnBrk="0" hangingPunct="1">
            <a:lnSpc>
              <a:spcPts val="1100"/>
            </a:lnSpc>
            <a:spcBef>
              <a:spcPts val="0"/>
            </a:spcBef>
            <a:spcAft>
              <a:spcPts val="0"/>
            </a:spcAft>
            <a:buClrTx/>
            <a:buSzTx/>
            <a:buFontTx/>
            <a:buNone/>
            <a:tabLst/>
            <a:defRPr/>
          </a:pPr>
          <a:r>
            <a:rPr lang="en-NZ" sz="1100">
              <a:solidFill>
                <a:schemeClr val="dk1"/>
              </a:solidFill>
              <a:latin typeface="Arial" pitchFamily="34" charset="0"/>
              <a:ea typeface="+mn-ea"/>
              <a:cs typeface="Arial" pitchFamily="34" charset="0"/>
            </a:rPr>
            <a:t>The OBEGAL (excluding minority interests)</a:t>
          </a:r>
          <a:r>
            <a:rPr lang="en-NZ" sz="1100" baseline="0">
              <a:solidFill>
                <a:schemeClr val="dk1"/>
              </a:solidFill>
              <a:latin typeface="Arial" pitchFamily="34" charset="0"/>
              <a:ea typeface="+mn-ea"/>
              <a:cs typeface="Arial" pitchFamily="34" charset="0"/>
            </a:rPr>
            <a:t> </a:t>
          </a:r>
          <a:r>
            <a:rPr lang="en-NZ" sz="1100">
              <a:solidFill>
                <a:schemeClr val="dk1"/>
              </a:solidFill>
              <a:latin typeface="Arial" pitchFamily="34" charset="0"/>
              <a:ea typeface="+mn-ea"/>
              <a:cs typeface="Arial" pitchFamily="34" charset="0"/>
            </a:rPr>
            <a:t>equals the operating balance before gains and losses (i.e. gains and losses = Operating</a:t>
          </a:r>
          <a:r>
            <a:rPr lang="en-NZ" sz="1100" baseline="0">
              <a:solidFill>
                <a:schemeClr val="dk1"/>
              </a:solidFill>
              <a:latin typeface="Arial" pitchFamily="34" charset="0"/>
              <a:ea typeface="+mn-ea"/>
              <a:cs typeface="Arial" pitchFamily="34" charset="0"/>
            </a:rPr>
            <a:t> Balance less OBEGAL)</a:t>
          </a:r>
          <a:r>
            <a:rPr lang="en-NZ" sz="1100">
              <a:solidFill>
                <a:schemeClr val="dk1"/>
              </a:solidFill>
              <a:latin typeface="Arial" pitchFamily="34" charset="0"/>
              <a:ea typeface="+mn-ea"/>
              <a:cs typeface="Arial" pitchFamily="34" charset="0"/>
            </a:rPr>
            <a:t>. The most significant gains and losses are from changes in the fair value of financial assets and financial liabilities. By excluding volatile gains and losses the OBEGAL gives a more direct indication of the underlying stewardship of the Government than the operating balance.</a:t>
          </a:r>
          <a:r>
            <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rPr>
            <a:t> </a:t>
          </a:r>
        </a:p>
        <a:p>
          <a:pPr marL="0" marR="0" lvl="0" indent="0" defTabSz="914400" eaLnBrk="1" fontAlgn="auto" latinLnBrk="0" hangingPunct="1">
            <a:lnSpc>
              <a:spcPts val="11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r>
            <a:rPr lang="en-NZ" sz="1100" b="0" i="1">
              <a:solidFill>
                <a:schemeClr val="dk1"/>
              </a:solidFill>
              <a:effectLst/>
              <a:latin typeface="Arial" panose="020B0604020202020204" pitchFamily="34" charset="0"/>
              <a:ea typeface="+mn-ea"/>
              <a:cs typeface="Arial" panose="020B0604020202020204" pitchFamily="34" charset="0"/>
            </a:rPr>
            <a:t>Operating Balance Before Gains and Losses excluding ACC revenu</a:t>
          </a:r>
          <a:r>
            <a:rPr lang="en-NZ" sz="1100" b="0" i="1" baseline="0">
              <a:solidFill>
                <a:schemeClr val="dk1"/>
              </a:solidFill>
              <a:effectLst/>
              <a:latin typeface="Arial" panose="020B0604020202020204" pitchFamily="34" charset="0"/>
              <a:ea typeface="+mn-ea"/>
              <a:cs typeface="Arial" panose="020B0604020202020204" pitchFamily="34" charset="0"/>
            </a:rPr>
            <a:t>e and expenses</a:t>
          </a:r>
          <a:r>
            <a:rPr lang="en-NZ" sz="1100" b="0" i="1">
              <a:solidFill>
                <a:schemeClr val="dk1"/>
              </a:solidFill>
              <a:effectLst/>
              <a:latin typeface="Arial" panose="020B0604020202020204" pitchFamily="34" charset="0"/>
              <a:ea typeface="+mn-ea"/>
              <a:cs typeface="Arial" panose="020B0604020202020204" pitchFamily="34" charset="0"/>
            </a:rPr>
            <a:t> (OBEGALx)</a:t>
          </a:r>
        </a:p>
        <a:p>
          <a:r>
            <a:rPr lang="en-NZ" sz="1100" b="0" i="0">
              <a:solidFill>
                <a:schemeClr val="dk1"/>
              </a:solidFill>
              <a:effectLst/>
              <a:latin typeface="Arial" panose="020B0604020202020204" pitchFamily="34" charset="0"/>
              <a:ea typeface="+mn-ea"/>
              <a:cs typeface="Arial" panose="020B0604020202020204" pitchFamily="34" charset="0"/>
            </a:rPr>
            <a:t>OBEGALx</a:t>
          </a:r>
          <a:r>
            <a:rPr lang="en-NZ" sz="1100" b="0" i="0" baseline="0">
              <a:solidFill>
                <a:schemeClr val="dk1"/>
              </a:solidFill>
              <a:effectLst/>
              <a:latin typeface="Arial" panose="020B0604020202020204" pitchFamily="34" charset="0"/>
              <a:ea typeface="+mn-ea"/>
              <a:cs typeface="Arial" panose="020B0604020202020204" pitchFamily="34" charset="0"/>
            </a:rPr>
            <a:t> represents OBEGAL (refer above) excluding the revenue and expenses of ACC.</a:t>
          </a:r>
          <a:endParaRPr lang="en-NZ" sz="1100" b="0" i="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ts val="11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ts val="1100"/>
            </a:lnSpc>
            <a:spcBef>
              <a:spcPts val="0"/>
            </a:spcBef>
            <a:spcAft>
              <a:spcPts val="0"/>
            </a:spcAft>
            <a:buClrTx/>
            <a:buSzTx/>
            <a:buFontTx/>
            <a:buNone/>
            <a:tabLst/>
            <a:defRPr/>
          </a:pPr>
          <a:r>
            <a:rPr kumimoji="0" lang="en-NZ" sz="1100" b="0" i="1" u="none" strike="noStrike" kern="0" cap="none" spc="0" normalizeH="0" baseline="0" noProof="0">
              <a:ln>
                <a:noFill/>
              </a:ln>
              <a:solidFill>
                <a:prstClr val="black"/>
              </a:solidFill>
              <a:effectLst/>
              <a:uLnTx/>
              <a:uFillTx/>
              <a:latin typeface="Arial" pitchFamily="34" charset="0"/>
              <a:ea typeface="+mn-ea"/>
              <a:cs typeface="Arial" pitchFamily="34" charset="0"/>
            </a:rPr>
            <a:t>Core Crown Residual Cash</a:t>
          </a:r>
        </a:p>
        <a:p>
          <a:pPr marL="0" marR="0" lvl="0" indent="0" defTabSz="914400" eaLnBrk="1" fontAlgn="auto" latinLnBrk="0" hangingPunct="1">
            <a:lnSpc>
              <a:spcPts val="1100"/>
            </a:lnSpc>
            <a:spcBef>
              <a:spcPts val="0"/>
            </a:spcBef>
            <a:spcAft>
              <a:spcPts val="0"/>
            </a:spcAft>
            <a:buClrTx/>
            <a:buSzTx/>
            <a:buFontTx/>
            <a:buNone/>
            <a:tabLst/>
            <a:defRPr/>
          </a:pPr>
          <a:r>
            <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rPr>
            <a:t>Residual cash is </a:t>
          </a:r>
          <a:r>
            <a:rPr kumimoji="0" lang="en-AU" sz="1100" b="0" i="0" u="none" strike="noStrike" kern="0" cap="none" spc="0" normalizeH="0" baseline="0" noProof="0">
              <a:ln>
                <a:noFill/>
              </a:ln>
              <a:solidFill>
                <a:prstClr val="black"/>
              </a:solidFill>
              <a:effectLst/>
              <a:uLnTx/>
              <a:uFillTx/>
              <a:latin typeface="Arial" pitchFamily="34" charset="0"/>
              <a:ea typeface="+mn-ea"/>
              <a:cs typeface="Arial" pitchFamily="34" charset="0"/>
            </a:rPr>
            <a:t>the level of money the Government has available to repay debt or, alternatively, needs to borrow in any given year. Therefore the balance of residual cash equals the change in debt in any given year. Residual cash is alternatively termed “Cash available/(shortfall to be funded)”.</a:t>
          </a:r>
          <a:endPar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ts val="1100"/>
            </a:lnSpc>
            <a:spcBef>
              <a:spcPts val="0"/>
            </a:spcBef>
            <a:spcAft>
              <a:spcPts val="0"/>
            </a:spcAft>
            <a:buClrTx/>
            <a:buSzTx/>
            <a:buFontTx/>
            <a:buNone/>
            <a:tabLst/>
            <a:defRPr/>
          </a:pPr>
          <a:r>
            <a:rPr kumimoji="0" lang="en-AU" sz="1100" b="0" i="0" u="none" strike="noStrike" kern="0" cap="none" spc="0" normalizeH="0" baseline="0" noProof="0">
              <a:ln>
                <a:noFill/>
              </a:ln>
              <a:solidFill>
                <a:prstClr val="black"/>
              </a:solidFill>
              <a:effectLst/>
              <a:uLnTx/>
              <a:uFillTx/>
              <a:latin typeface="Arial" pitchFamily="34" charset="0"/>
              <a:ea typeface="+mn-ea"/>
              <a:cs typeface="Arial" pitchFamily="34" charset="0"/>
            </a:rPr>
            <a:t> </a:t>
          </a:r>
          <a:endPar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ts val="1100"/>
            </a:lnSpc>
            <a:spcBef>
              <a:spcPts val="0"/>
            </a:spcBef>
            <a:spcAft>
              <a:spcPts val="0"/>
            </a:spcAft>
            <a:buClrTx/>
            <a:buSzTx/>
            <a:buFontTx/>
            <a:buNone/>
            <a:tabLst/>
            <a:defRPr/>
          </a:pPr>
          <a:r>
            <a:rPr kumimoji="0" lang="en-AU" sz="1100" b="0" i="0" u="none" strike="noStrike" kern="0" cap="none" spc="0" normalizeH="0" baseline="0" noProof="0">
              <a:ln>
                <a:noFill/>
              </a:ln>
              <a:solidFill>
                <a:prstClr val="black"/>
              </a:solidFill>
              <a:effectLst/>
              <a:uLnTx/>
              <a:uFillTx/>
              <a:latin typeface="Arial" pitchFamily="34" charset="0"/>
              <a:ea typeface="+mn-ea"/>
              <a:cs typeface="Arial" pitchFamily="34" charset="0"/>
            </a:rPr>
            <a:t>Residual cash is equal to net core Crown cashflow from operations excluding NZS Fund activity less core Crown capital commitments (eg contributions to the NZS Fund, purchases of assets, and loan activity).</a:t>
          </a:r>
        </a:p>
        <a:p>
          <a:pPr marL="0" marR="0" lvl="0" indent="0" defTabSz="914400" eaLnBrk="1" fontAlgn="auto" latinLnBrk="0" hangingPunct="1">
            <a:lnSpc>
              <a:spcPts val="1100"/>
            </a:lnSpc>
            <a:spcBef>
              <a:spcPts val="0"/>
            </a:spcBef>
            <a:spcAft>
              <a:spcPts val="0"/>
            </a:spcAft>
            <a:buClrTx/>
            <a:buSzTx/>
            <a:buFontTx/>
            <a:buNone/>
            <a:tabLst/>
            <a:defRPr/>
          </a:pPr>
          <a:endParaRPr kumimoji="0" lang="en-AU" sz="11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ts val="1200"/>
            </a:lnSpc>
            <a:spcBef>
              <a:spcPts val="0"/>
            </a:spcBef>
            <a:spcAft>
              <a:spcPts val="0"/>
            </a:spcAft>
            <a:buClrTx/>
            <a:buSzTx/>
            <a:buFontTx/>
            <a:buNone/>
            <a:tabLst/>
            <a:defRPr/>
          </a:pPr>
          <a:r>
            <a:rPr kumimoji="0" lang="en-AU" sz="1100" b="0" i="0" u="none" strike="noStrike" kern="0" cap="none" spc="0" normalizeH="0" baseline="0" noProof="0">
              <a:ln>
                <a:noFill/>
              </a:ln>
              <a:solidFill>
                <a:prstClr val="black"/>
              </a:solidFill>
              <a:effectLst/>
              <a:uLnTx/>
              <a:uFillTx/>
              <a:latin typeface="Arial" pitchFamily="34" charset="0"/>
              <a:ea typeface="+mn-ea"/>
              <a:cs typeface="Arial" pitchFamily="34" charset="0"/>
            </a:rPr>
            <a:t>Between 1987 and 1993, expenses include GST payments with the impact correspondingly reflected in the revenue and receipt series. There is only a minor net impact on surplus measures through some GST being paid and recorded in a different fiscal year.</a:t>
          </a:r>
          <a:endParaRPr kumimoji="0" lang="en-NZ" sz="1100" b="0" i="0"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indent="0" defTabSz="914400" eaLnBrk="1" fontAlgn="auto" latinLnBrk="0" hangingPunct="1">
            <a:lnSpc>
              <a:spcPts val="1100"/>
            </a:lnSpc>
            <a:spcBef>
              <a:spcPts val="0"/>
            </a:spcBef>
            <a:spcAft>
              <a:spcPts val="0"/>
            </a:spcAft>
            <a:buClrTx/>
            <a:buSzTx/>
            <a:buFontTx/>
            <a:buNone/>
            <a:tabLst/>
            <a:defRPr/>
          </a:pPr>
          <a:endParaRPr lang="en-NZ" sz="1100">
            <a:solidFill>
              <a:schemeClr val="dk1"/>
            </a:solidFill>
            <a:latin typeface="Arial" pitchFamily="34" charset="0"/>
            <a:ea typeface="+mn-ea"/>
            <a:cs typeface="Arial" pitchFamily="34" charset="0"/>
          </a:endParaRPr>
        </a:p>
        <a:p>
          <a:pPr>
            <a:lnSpc>
              <a:spcPts val="1200"/>
            </a:lnSpc>
          </a:pPr>
          <a:r>
            <a:rPr lang="en-NZ" sz="1100">
              <a:solidFill>
                <a:schemeClr val="dk1"/>
              </a:solidFill>
              <a:latin typeface="+mn-lt"/>
              <a:ea typeface="+mn-ea"/>
              <a:cs typeface="+mn-cs"/>
            </a:rPr>
            <a:t> </a:t>
          </a:r>
        </a:p>
        <a:p>
          <a:pPr>
            <a:lnSpc>
              <a:spcPts val="1200"/>
            </a:lnSpc>
          </a:pPr>
          <a:endParaRPr lang="en-NZ" sz="1100"/>
        </a:p>
      </xdr:txBody>
    </xdr:sp>
    <xdr:clientData/>
  </xdr:twoCellAnchor>
  <xdr:twoCellAnchor>
    <xdr:from>
      <xdr:col>0</xdr:col>
      <xdr:colOff>219709</xdr:colOff>
      <xdr:row>81</xdr:row>
      <xdr:rowOff>44451</xdr:rowOff>
    </xdr:from>
    <xdr:to>
      <xdr:col>5</xdr:col>
      <xdr:colOff>3745146</xdr:colOff>
      <xdr:row>94</xdr:row>
      <xdr:rowOff>83821</xdr:rowOff>
    </xdr:to>
    <xdr:sp macro="" textlink="">
      <xdr:nvSpPr>
        <xdr:cNvPr id="7587" name="TextBox 4">
          <a:extLst>
            <a:ext uri="{FF2B5EF4-FFF2-40B4-BE49-F238E27FC236}">
              <a16:creationId xmlns:a16="http://schemas.microsoft.com/office/drawing/2014/main" id="{00000000-0008-0000-0100-0000A31D0000}"/>
            </a:ext>
          </a:extLst>
        </xdr:cNvPr>
        <xdr:cNvSpPr txBox="1">
          <a:spLocks noChangeArrowheads="1"/>
        </xdr:cNvSpPr>
      </xdr:nvSpPr>
      <xdr:spPr bwMode="auto">
        <a:xfrm>
          <a:off x="219709" y="13198476"/>
          <a:ext cx="9678587" cy="214439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lnSpc>
              <a:spcPts val="1200"/>
            </a:lnSpc>
            <a:defRPr sz="1000"/>
          </a:pPr>
          <a:r>
            <a:rPr lang="en-NZ" sz="1100" b="1" i="0" strike="noStrike">
              <a:solidFill>
                <a:srgbClr val="000000"/>
              </a:solidFill>
              <a:latin typeface="Arial"/>
              <a:cs typeface="Arial"/>
            </a:rPr>
            <a:t>Tax and Revenue</a:t>
          </a:r>
          <a:endParaRPr lang="en-NZ" sz="1100" b="0" i="0" strike="noStrike">
            <a:solidFill>
              <a:srgbClr val="000000"/>
            </a:solidFill>
            <a:latin typeface="Arial"/>
            <a:cs typeface="Arial"/>
          </a:endParaRPr>
        </a:p>
        <a:p>
          <a:pPr algn="l" rtl="0">
            <a:lnSpc>
              <a:spcPts val="1200"/>
            </a:lnSpc>
            <a:defRPr sz="1000"/>
          </a:pPr>
          <a:endParaRPr lang="en-NZ" sz="1100" b="0" i="0" strike="noStrike">
            <a:solidFill>
              <a:srgbClr val="000000"/>
            </a:solidFill>
            <a:latin typeface="Arial"/>
            <a:cs typeface="Arial"/>
          </a:endParaRPr>
        </a:p>
        <a:p>
          <a:pPr algn="l" rtl="0">
            <a:lnSpc>
              <a:spcPts val="1200"/>
            </a:lnSpc>
            <a:defRPr sz="1000"/>
          </a:pPr>
          <a:r>
            <a:rPr lang="en-NZ" sz="1100" b="0" i="0" strike="noStrike">
              <a:solidFill>
                <a:srgbClr val="000000"/>
              </a:solidFill>
              <a:latin typeface="Arial"/>
              <a:cs typeface="Arial"/>
            </a:rPr>
            <a:t>Prior to 1994, tax receipts are on a cash basis.  Non-tax receipts include interest income, profits and dividends, and miscellaneous receipts.  From 1994 tax receipts are taken from the core Crown net cash flow statement and are not strictly comparable to the pre 1994 series due to differences in coverage of the reporting entities. From 1994, tax revenue is an accrual measure. </a:t>
          </a:r>
        </a:p>
        <a:p>
          <a:pPr algn="l" rtl="0">
            <a:lnSpc>
              <a:spcPts val="1200"/>
            </a:lnSpc>
            <a:defRPr sz="1000"/>
          </a:pPr>
          <a:endParaRPr lang="en-NZ" sz="1100" b="0" i="0" strike="noStrike">
            <a:solidFill>
              <a:srgbClr val="000000"/>
            </a:solidFill>
            <a:latin typeface="Arial"/>
            <a:ea typeface="+mn-ea"/>
            <a:cs typeface="Arial"/>
          </a:endParaRPr>
        </a:p>
        <a:p>
          <a:pPr algn="l" rtl="0">
            <a:lnSpc>
              <a:spcPts val="1200"/>
            </a:lnSpc>
            <a:defRPr sz="1000"/>
          </a:pPr>
          <a:r>
            <a:rPr lang="en-NZ" sz="1100" b="0" i="0" strike="noStrike">
              <a:solidFill>
                <a:srgbClr val="000000"/>
              </a:solidFill>
              <a:latin typeface="Arial"/>
              <a:ea typeface="+mn-ea"/>
              <a:cs typeface="Arial"/>
            </a:rPr>
            <a:t>Between</a:t>
          </a:r>
          <a:r>
            <a:rPr lang="en-NZ" sz="1100" b="0" i="0" strike="noStrike" baseline="0">
              <a:solidFill>
                <a:srgbClr val="000000"/>
              </a:solidFill>
              <a:latin typeface="Arial"/>
              <a:ea typeface="+mn-ea"/>
              <a:cs typeface="Arial"/>
            </a:rPr>
            <a:t> 1987 and 1993 </a:t>
          </a:r>
          <a:r>
            <a:rPr lang="en-NZ" sz="1100" b="0" i="0" strike="noStrike">
              <a:solidFill>
                <a:srgbClr val="000000"/>
              </a:solidFill>
              <a:latin typeface="Arial"/>
              <a:ea typeface="+mn-ea"/>
              <a:cs typeface="Arial"/>
            </a:rPr>
            <a:t>receipts and revenue include GST paid on government purchases.</a:t>
          </a:r>
        </a:p>
        <a:p>
          <a:pPr algn="l" rtl="0">
            <a:lnSpc>
              <a:spcPts val="1200"/>
            </a:lnSpc>
            <a:defRPr sz="1000"/>
          </a:pPr>
          <a:endParaRPr lang="en-NZ" sz="1100" b="0" i="0" strike="noStrike">
            <a:solidFill>
              <a:srgbClr val="000000"/>
            </a:solidFill>
            <a:latin typeface="Arial"/>
            <a:cs typeface="Arial"/>
          </a:endParaRPr>
        </a:p>
        <a:p>
          <a:pPr algn="l" rtl="0">
            <a:lnSpc>
              <a:spcPts val="1100"/>
            </a:lnSpc>
            <a:defRPr sz="1000"/>
          </a:pPr>
          <a:r>
            <a:rPr lang="en-NZ" sz="1100" b="0" i="0" strike="noStrike">
              <a:solidFill>
                <a:srgbClr val="000000"/>
              </a:solidFill>
              <a:latin typeface="Arial"/>
              <a:cs typeface="Arial"/>
            </a:rPr>
            <a:t>Revenue comprises mostly tax, but also includes investment income, sales of goods and services and other revenues.  The post IFRS revenue measure excludes gains from, for example, increases in the fair value of financial assets.  </a:t>
          </a:r>
        </a:p>
        <a:p>
          <a:pPr algn="l" rtl="0">
            <a:lnSpc>
              <a:spcPts val="1200"/>
            </a:lnSpc>
            <a:defRPr sz="1000"/>
          </a:pPr>
          <a:endParaRPr lang="en-NZ" sz="1100" b="0" i="0" strike="noStrike">
            <a:solidFill>
              <a:srgbClr val="000000"/>
            </a:solidFill>
            <a:latin typeface="Arial"/>
            <a:cs typeface="Arial"/>
          </a:endParaRPr>
        </a:p>
        <a:p>
          <a:pPr algn="l" rtl="0">
            <a:lnSpc>
              <a:spcPts val="1200"/>
            </a:lnSpc>
            <a:defRPr sz="1000"/>
          </a:pPr>
          <a:r>
            <a:rPr lang="en-NZ" sz="1100" b="0" i="0" strike="noStrike">
              <a:solidFill>
                <a:srgbClr val="000000"/>
              </a:solidFill>
              <a:latin typeface="Arial"/>
              <a:cs typeface="Arial"/>
            </a:rPr>
            <a:t>Data for core Crown tax Revenue and core Crown Revenue for 1994</a:t>
          </a:r>
          <a:r>
            <a:rPr lang="en-NZ" sz="1100" b="0" i="0" strike="noStrike" baseline="0">
              <a:solidFill>
                <a:srgbClr val="000000"/>
              </a:solidFill>
              <a:latin typeface="Arial"/>
              <a:cs typeface="Arial"/>
            </a:rPr>
            <a:t> to 1996 are prepared under old-GAAP.</a:t>
          </a:r>
          <a:endParaRPr lang="en-NZ" sz="1100" b="0" i="0" strike="noStrike">
            <a:solidFill>
              <a:srgbClr val="000000"/>
            </a:solidFill>
            <a:latin typeface="Arial"/>
            <a:cs typeface="Arial"/>
          </a:endParaRPr>
        </a:p>
        <a:p>
          <a:pPr algn="l" rtl="0">
            <a:lnSpc>
              <a:spcPts val="1100"/>
            </a:lnSpc>
            <a:defRPr sz="1000"/>
          </a:pPr>
          <a:endParaRPr lang="en-NZ" sz="1100" b="0" i="0" strike="noStrike">
            <a:solidFill>
              <a:srgbClr val="000000"/>
            </a:solidFill>
            <a:latin typeface="Arial"/>
            <a:cs typeface="Arial"/>
          </a:endParaRPr>
        </a:p>
        <a:p>
          <a:pPr algn="l" rtl="0">
            <a:lnSpc>
              <a:spcPts val="1100"/>
            </a:lnSpc>
            <a:defRPr sz="1000"/>
          </a:pPr>
          <a:endParaRPr lang="en-NZ" sz="1100" b="0" i="0" strike="noStrike">
            <a:solidFill>
              <a:srgbClr val="000000"/>
            </a:solidFill>
            <a:latin typeface="Arial"/>
            <a:cs typeface="Arial"/>
          </a:endParaRPr>
        </a:p>
      </xdr:txBody>
    </xdr:sp>
    <xdr:clientData/>
  </xdr:twoCellAnchor>
  <xdr:twoCellAnchor>
    <xdr:from>
      <xdr:col>0</xdr:col>
      <xdr:colOff>228600</xdr:colOff>
      <xdr:row>95</xdr:row>
      <xdr:rowOff>28575</xdr:rowOff>
    </xdr:from>
    <xdr:to>
      <xdr:col>5</xdr:col>
      <xdr:colOff>3867150</xdr:colOff>
      <xdr:row>120</xdr:row>
      <xdr:rowOff>101600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28600" y="15449550"/>
          <a:ext cx="9791700" cy="4121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defTabSz="914400" eaLnBrk="1" fontAlgn="auto" latinLnBrk="0" hangingPunct="1">
            <a:lnSpc>
              <a:spcPts val="1200"/>
            </a:lnSpc>
            <a:spcBef>
              <a:spcPts val="0"/>
            </a:spcBef>
            <a:spcAft>
              <a:spcPts val="0"/>
            </a:spcAft>
            <a:buClrTx/>
            <a:buSzTx/>
            <a:buFontTx/>
            <a:buNone/>
            <a:tabLst/>
            <a:defRPr/>
          </a:pPr>
          <a:r>
            <a:rPr lang="en-NZ" sz="1100" b="1">
              <a:solidFill>
                <a:schemeClr val="dk1"/>
              </a:solidFill>
              <a:latin typeface="Arial" pitchFamily="34" charset="0"/>
              <a:ea typeface="+mn-ea"/>
              <a:cs typeface="Arial" pitchFamily="34" charset="0"/>
            </a:rPr>
            <a:t>Debt Measures</a:t>
          </a:r>
          <a:endParaRPr lang="en-AU" sz="1100">
            <a:solidFill>
              <a:schemeClr val="dk1"/>
            </a:solidFill>
            <a:latin typeface="Arial" pitchFamily="34" charset="0"/>
            <a:ea typeface="+mn-ea"/>
            <a:cs typeface="Arial" pitchFamily="34" charset="0"/>
          </a:endParaRPr>
        </a:p>
        <a:p>
          <a:pPr marL="0" indent="0">
            <a:lnSpc>
              <a:spcPts val="1200"/>
            </a:lnSpc>
          </a:pPr>
          <a:endParaRPr lang="en-AU" sz="1100" b="0" i="1">
            <a:solidFill>
              <a:schemeClr val="dk1"/>
            </a:solidFill>
            <a:latin typeface="Arial" pitchFamily="34" charset="0"/>
            <a:ea typeface="+mn-ea"/>
            <a:cs typeface="Arial" pitchFamily="34" charset="0"/>
          </a:endParaRPr>
        </a:p>
        <a:p>
          <a:pPr>
            <a:lnSpc>
              <a:spcPts val="1200"/>
            </a:lnSpc>
          </a:pPr>
          <a:r>
            <a:rPr lang="en-NZ" sz="1100" b="0" i="1">
              <a:solidFill>
                <a:schemeClr val="dk1"/>
              </a:solidFill>
              <a:latin typeface="Arial" pitchFamily="34" charset="0"/>
              <a:ea typeface="+mn-ea"/>
              <a:cs typeface="Arial" pitchFamily="34" charset="0"/>
            </a:rPr>
            <a:t>Gross Sovereign Issued Debt (GSID)</a:t>
          </a:r>
        </a:p>
        <a:p>
          <a:pPr>
            <a:lnSpc>
              <a:spcPts val="1200"/>
            </a:lnSpc>
          </a:pPr>
          <a:r>
            <a:rPr lang="en-AU" sz="1100">
              <a:solidFill>
                <a:schemeClr val="dk1"/>
              </a:solidFill>
              <a:latin typeface="Arial" pitchFamily="34" charset="0"/>
              <a:ea typeface="+mn-ea"/>
              <a:cs typeface="Arial" pitchFamily="34" charset="0"/>
            </a:rPr>
            <a:t>Gross sovereign-issued debt</a:t>
          </a:r>
          <a:r>
            <a:rPr lang="en-AU" sz="1100" i="1">
              <a:solidFill>
                <a:schemeClr val="dk1"/>
              </a:solidFill>
              <a:latin typeface="Arial" pitchFamily="34" charset="0"/>
              <a:ea typeface="+mn-ea"/>
              <a:cs typeface="Arial" pitchFamily="34" charset="0"/>
            </a:rPr>
            <a:t> </a:t>
          </a:r>
          <a:r>
            <a:rPr lang="en-AU" sz="1100">
              <a:solidFill>
                <a:schemeClr val="dk1"/>
              </a:solidFill>
              <a:latin typeface="Arial" pitchFamily="34" charset="0"/>
              <a:ea typeface="+mn-ea"/>
              <a:cs typeface="Arial" pitchFamily="34" charset="0"/>
            </a:rPr>
            <a:t>is debt issued by the sovereign (i.e., core Crown) and includes Government stock held by the NZS Fund, GSF, ACC or EQC for example.  In other words, the total sovereign-issued debt does not eliminate any internal cross-holdings held by these entities. </a:t>
          </a:r>
        </a:p>
        <a:p>
          <a:pPr>
            <a:lnSpc>
              <a:spcPts val="1200"/>
            </a:lnSpc>
          </a:pPr>
          <a:endParaRPr lang="en-AU" sz="1100">
            <a:solidFill>
              <a:schemeClr val="dk1"/>
            </a:solidFill>
            <a:latin typeface="Arial" pitchFamily="34" charset="0"/>
            <a:ea typeface="+mn-ea"/>
            <a:cs typeface="Arial" pitchFamily="34" charset="0"/>
          </a:endParaRPr>
        </a:p>
        <a:p>
          <a:r>
            <a:rPr lang="en-NZ" sz="1100" b="0" i="1">
              <a:solidFill>
                <a:schemeClr val="dk1"/>
              </a:solidFill>
              <a:effectLst/>
              <a:latin typeface="Arial" panose="020B0604020202020204" pitchFamily="34" charset="0"/>
              <a:ea typeface="+mn-ea"/>
              <a:cs typeface="Arial" panose="020B0604020202020204" pitchFamily="34" charset="0"/>
            </a:rPr>
            <a:t>Gross Debt </a:t>
          </a:r>
          <a:endParaRPr lang="en-NZ">
            <a:effectLst/>
            <a:latin typeface="Arial" panose="020B0604020202020204" pitchFamily="34" charset="0"/>
            <a:cs typeface="Arial" panose="020B0604020202020204" pitchFamily="34" charset="0"/>
          </a:endParaRPr>
        </a:p>
        <a:p>
          <a:r>
            <a:rPr lang="en-AU" sz="1100">
              <a:solidFill>
                <a:schemeClr val="dk1"/>
              </a:solidFill>
              <a:effectLst/>
              <a:latin typeface="Arial" panose="020B0604020202020204" pitchFamily="34" charset="0"/>
              <a:ea typeface="+mn-ea"/>
              <a:cs typeface="Arial" panose="020B0604020202020204" pitchFamily="34" charset="0"/>
            </a:rPr>
            <a:t>Represents debt issued by sovereign (core Crown) and includes Government stock held by NZS Fund, Accident Compensation Corporation, and the Earthquake Commission. It does not include debt issued by Stateowned Enterprises and Crown Entities. Gross debt excludes Reserve Bank settlement cash and Reserve Bank bills. </a:t>
          </a:r>
        </a:p>
        <a:p>
          <a:endParaRPr lang="en-NZ" sz="1100" i="1">
            <a:solidFill>
              <a:schemeClr val="dk1"/>
            </a:solidFill>
            <a:latin typeface="Arial" pitchFamily="34" charset="0"/>
            <a:ea typeface="+mn-ea"/>
            <a:cs typeface="Arial" pitchFamily="34" charset="0"/>
          </a:endParaRPr>
        </a:p>
        <a:p>
          <a:pPr>
            <a:lnSpc>
              <a:spcPts val="1200"/>
            </a:lnSpc>
          </a:pPr>
          <a:r>
            <a:rPr lang="en-NZ" sz="1100" i="1">
              <a:solidFill>
                <a:schemeClr val="dk1"/>
              </a:solidFill>
              <a:latin typeface="Arial" pitchFamily="34" charset="0"/>
              <a:ea typeface="+mn-ea"/>
              <a:cs typeface="Arial" pitchFamily="34" charset="0"/>
            </a:rPr>
            <a:t>(Former)</a:t>
          </a:r>
          <a:r>
            <a:rPr lang="en-NZ" sz="1100" i="1" baseline="0">
              <a:solidFill>
                <a:schemeClr val="dk1"/>
              </a:solidFill>
              <a:latin typeface="Arial" pitchFamily="34" charset="0"/>
              <a:ea typeface="+mn-ea"/>
              <a:cs typeface="Arial" pitchFamily="34" charset="0"/>
            </a:rPr>
            <a:t> </a:t>
          </a:r>
          <a:r>
            <a:rPr lang="en-NZ" sz="1100" i="1">
              <a:solidFill>
                <a:schemeClr val="dk1"/>
              </a:solidFill>
              <a:latin typeface="Arial" pitchFamily="34" charset="0"/>
              <a:ea typeface="+mn-ea"/>
              <a:cs typeface="Arial" pitchFamily="34" charset="0"/>
            </a:rPr>
            <a:t>Core Crown Net Debt  (Net core Crown Debt excluding NZS Fund)</a:t>
          </a:r>
        </a:p>
        <a:p>
          <a:pPr>
            <a:lnSpc>
              <a:spcPts val="1200"/>
            </a:lnSpc>
          </a:pPr>
          <a:r>
            <a:rPr lang="en-NZ" sz="1100" i="0">
              <a:solidFill>
                <a:schemeClr val="dk1"/>
              </a:solidFill>
              <a:latin typeface="Arial" pitchFamily="34" charset="0"/>
              <a:ea typeface="+mn-ea"/>
              <a:cs typeface="Arial" pitchFamily="34" charset="0"/>
            </a:rPr>
            <a:t>Represents GSID less financial assets (excluding financial assets held by the NZS Fund). This can provide information about the sustainability of the Government's accounts, and is used by some international agencies when determining the creditworthiness of a country.  This was the indicator used prior to 2009. </a:t>
          </a:r>
        </a:p>
        <a:p>
          <a:pPr>
            <a:lnSpc>
              <a:spcPts val="1200"/>
            </a:lnSpc>
          </a:pPr>
          <a:endParaRPr lang="en-AU" sz="1100">
            <a:solidFill>
              <a:schemeClr val="dk1"/>
            </a:solidFill>
            <a:latin typeface="Arial" pitchFamily="34" charset="0"/>
            <a:ea typeface="+mn-ea"/>
            <a:cs typeface="Arial" pitchFamily="34" charset="0"/>
          </a:endParaRPr>
        </a:p>
        <a:p>
          <a:pPr marL="0" marR="0" indent="0" defTabSz="914400" eaLnBrk="1" fontAlgn="auto" latinLnBrk="0" hangingPunct="1">
            <a:lnSpc>
              <a:spcPts val="1200"/>
            </a:lnSpc>
            <a:spcBef>
              <a:spcPts val="0"/>
            </a:spcBef>
            <a:spcAft>
              <a:spcPts val="0"/>
            </a:spcAft>
            <a:buClrTx/>
            <a:buSzTx/>
            <a:buFontTx/>
            <a:buNone/>
            <a:tabLst/>
            <a:defRPr/>
          </a:pPr>
          <a:r>
            <a:rPr lang="en-NZ" sz="1100" i="1">
              <a:solidFill>
                <a:schemeClr val="dk1"/>
              </a:solidFill>
              <a:latin typeface="Arial" pitchFamily="34" charset="0"/>
              <a:ea typeface="+mn-ea"/>
              <a:cs typeface="Arial" pitchFamily="34" charset="0"/>
            </a:rPr>
            <a:t>Net Core Crown Debt  (Net Core Crown Debt excluding NZS Fund and advances)</a:t>
          </a:r>
        </a:p>
        <a:p>
          <a:pPr marL="0" marR="0" indent="0" defTabSz="914400" eaLnBrk="1" fontAlgn="auto" latinLnBrk="0" hangingPunct="1">
            <a:lnSpc>
              <a:spcPts val="1200"/>
            </a:lnSpc>
            <a:spcBef>
              <a:spcPts val="0"/>
            </a:spcBef>
            <a:spcAft>
              <a:spcPts val="0"/>
            </a:spcAft>
            <a:buClrTx/>
            <a:buSzTx/>
            <a:buFontTx/>
            <a:buNone/>
            <a:tabLst/>
            <a:defRPr/>
          </a:pPr>
          <a:r>
            <a:rPr lang="en-NZ" sz="1100" i="0">
              <a:solidFill>
                <a:schemeClr val="dk1"/>
              </a:solidFill>
              <a:latin typeface="Arial" pitchFamily="34" charset="0"/>
              <a:ea typeface="+mn-ea"/>
              <a:cs typeface="Arial" pitchFamily="34" charset="0"/>
            </a:rPr>
            <a:t>Represents GSID less core Crown financial assets (excluding advances and financial assets held by the NZS Fund).  Advances and financial assets held by the NZS Fund are excluded as these assets are less liquid and/or they are made for public policy reasons rather than purposes associated with government financing.  Net core Crown debt provides information about the sustainability of the Government's accounts, and is used by some international rating agencies when determining the creditworthiness of a country. This was the indicator used between 2009 and 2021.</a:t>
          </a:r>
        </a:p>
        <a:p>
          <a:pPr>
            <a:lnSpc>
              <a:spcPts val="1200"/>
            </a:lnSpc>
          </a:pPr>
          <a:endParaRPr lang="en-NZ" sz="1100">
            <a:solidFill>
              <a:schemeClr val="dk1"/>
            </a:solidFill>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NZ" sz="1100" i="1">
              <a:solidFill>
                <a:schemeClr val="dk1"/>
              </a:solidFill>
              <a:latin typeface="Arial" pitchFamily="34" charset="0"/>
              <a:ea typeface="+mn-ea"/>
              <a:cs typeface="Arial" pitchFamily="34" charset="0"/>
            </a:rPr>
            <a:t>Net Debt</a:t>
          </a:r>
        </a:p>
        <a:p>
          <a:pPr marL="0" marR="0" indent="0" defTabSz="914400" eaLnBrk="1" fontAlgn="auto" latinLnBrk="0" hangingPunct="1">
            <a:lnSpc>
              <a:spcPct val="100000"/>
            </a:lnSpc>
            <a:spcBef>
              <a:spcPts val="0"/>
            </a:spcBef>
            <a:spcAft>
              <a:spcPts val="0"/>
            </a:spcAft>
            <a:buClrTx/>
            <a:buSzTx/>
            <a:buFontTx/>
            <a:buNone/>
            <a:tabLst/>
            <a:defRPr/>
          </a:pPr>
          <a:r>
            <a:rPr lang="en-NZ" sz="1100">
              <a:solidFill>
                <a:schemeClr val="dk1"/>
              </a:solidFill>
              <a:latin typeface="Arial" pitchFamily="34" charset="0"/>
              <a:ea typeface="+mn-ea"/>
              <a:cs typeface="Arial" pitchFamily="34" charset="0"/>
            </a:rPr>
            <a:t>Net debt provides information about the sustainability of the Government’s accounts. Net debt represents core Crown and Crown entity borrowings (excluding Kiwi Group) less core Crown financial assets (including advances). It includes the financial assets and borrowings of the NZS Fund. </a:t>
          </a:r>
        </a:p>
        <a:p>
          <a:pPr>
            <a:lnSpc>
              <a:spcPts val="1200"/>
            </a:lnSpc>
          </a:pPr>
          <a:endParaRPr lang="en-NZ" sz="1100"/>
        </a:p>
      </xdr:txBody>
    </xdr:sp>
    <xdr:clientData/>
  </xdr:twoCellAnchor>
  <xdr:twoCellAnchor>
    <xdr:from>
      <xdr:col>0</xdr:col>
      <xdr:colOff>38101</xdr:colOff>
      <xdr:row>123</xdr:row>
      <xdr:rowOff>80009</xdr:rowOff>
    </xdr:from>
    <xdr:to>
      <xdr:col>5</xdr:col>
      <xdr:colOff>3863384</xdr:colOff>
      <xdr:row>128</xdr:row>
      <xdr:rowOff>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38101" y="23580089"/>
          <a:ext cx="10012679" cy="7581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NZ" sz="1100" b="1">
              <a:solidFill>
                <a:schemeClr val="dk1"/>
              </a:solidFill>
              <a:latin typeface="Arial" pitchFamily="34" charset="0"/>
              <a:ea typeface="+mn-ea"/>
              <a:cs typeface="Arial" pitchFamily="34" charset="0"/>
            </a:rPr>
            <a:t>Net Worth</a:t>
          </a:r>
        </a:p>
        <a:p>
          <a:pPr marL="0" marR="0" indent="0" defTabSz="914400" eaLnBrk="1" fontAlgn="auto" latinLnBrk="0" hangingPunct="1">
            <a:lnSpc>
              <a:spcPct val="100000"/>
            </a:lnSpc>
            <a:spcBef>
              <a:spcPts val="0"/>
            </a:spcBef>
            <a:spcAft>
              <a:spcPts val="0"/>
            </a:spcAft>
            <a:buClrTx/>
            <a:buSzTx/>
            <a:buFontTx/>
            <a:buNone/>
            <a:tabLst/>
            <a:defRPr/>
          </a:pPr>
          <a:endParaRPr lang="en-NZ" sz="1100" b="1">
            <a:solidFill>
              <a:schemeClr val="dk1"/>
            </a:solidFill>
            <a:latin typeface="Arial" pitchFamily="34" charset="0"/>
            <a:ea typeface="+mn-ea"/>
            <a:cs typeface="Arial" pitchFamily="34" charset="0"/>
          </a:endParaRPr>
        </a:p>
        <a:p>
          <a:pPr marL="0" indent="0"/>
          <a:r>
            <a:rPr lang="en-AU" sz="1100" b="0">
              <a:solidFill>
                <a:schemeClr val="dk1"/>
              </a:solidFill>
              <a:latin typeface="Arial" pitchFamily="34" charset="0"/>
              <a:ea typeface="+mn-ea"/>
              <a:cs typeface="Arial" pitchFamily="34" charset="0"/>
            </a:rPr>
            <a:t>Net worth equals assets less liabilities (also referred to as the Crown balance). The change in net worth in any given forecast year is largely driven by the operating balance. </a:t>
          </a:r>
          <a:endParaRPr lang="en-NZ" sz="1100" b="0">
            <a:solidFill>
              <a:schemeClr val="dk1"/>
            </a:solidFill>
            <a:latin typeface="Arial" pitchFamily="34" charset="0"/>
            <a:ea typeface="+mn-ea"/>
            <a:cs typeface="Arial" pitchFamily="34" charset="0"/>
          </a:endParaRPr>
        </a:p>
        <a:p>
          <a:r>
            <a:rPr lang="en-AU" sz="1100" b="1">
              <a:solidFill>
                <a:schemeClr val="dk1"/>
              </a:solidFill>
              <a:latin typeface="+mn-lt"/>
              <a:ea typeface="+mn-ea"/>
              <a:cs typeface="+mn-cs"/>
            </a:rPr>
            <a:t> </a:t>
          </a:r>
          <a:endParaRPr lang="en-NZ" sz="110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NZ" sz="1100">
            <a:solidFill>
              <a:schemeClr val="dk1"/>
            </a:solidFill>
            <a:latin typeface="+mn-lt"/>
            <a:ea typeface="+mn-ea"/>
            <a:cs typeface="+mn-cs"/>
          </a:endParaRPr>
        </a:p>
        <a:p>
          <a:endParaRPr lang="en-NZ" sz="1100"/>
        </a:p>
      </xdr:txBody>
    </xdr:sp>
    <xdr:clientData/>
  </xdr:twoCellAnchor>
  <xdr:twoCellAnchor>
    <xdr:from>
      <xdr:col>0</xdr:col>
      <xdr:colOff>38100</xdr:colOff>
      <xdr:row>131</xdr:row>
      <xdr:rowOff>76199</xdr:rowOff>
    </xdr:from>
    <xdr:to>
      <xdr:col>5</xdr:col>
      <xdr:colOff>3840458</xdr:colOff>
      <xdr:row>138</xdr:row>
      <xdr:rowOff>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38100" y="24582119"/>
          <a:ext cx="9989820" cy="1097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NZ" sz="1100" b="1">
              <a:solidFill>
                <a:schemeClr val="dk1"/>
              </a:solidFill>
              <a:latin typeface="Arial" pitchFamily="34" charset="0"/>
              <a:ea typeface="+mn-ea"/>
              <a:cs typeface="Arial" pitchFamily="34" charset="0"/>
            </a:rPr>
            <a:t>New Zealand Superannuation (NZS) Fund Series</a:t>
          </a:r>
        </a:p>
        <a:p>
          <a:endParaRPr lang="en-NZ" sz="1100" b="1">
            <a:solidFill>
              <a:schemeClr val="dk1"/>
            </a:solidFill>
            <a:latin typeface="Arial" pitchFamily="34" charset="0"/>
            <a:ea typeface="+mn-ea"/>
            <a:cs typeface="Arial" pitchFamily="34" charset="0"/>
          </a:endParaRPr>
        </a:p>
        <a:p>
          <a:r>
            <a:rPr lang="en-NZ" sz="1100">
              <a:solidFill>
                <a:schemeClr val="dk1"/>
              </a:solidFill>
              <a:latin typeface="Arial" pitchFamily="34" charset="0"/>
              <a:ea typeface="+mn-ea"/>
              <a:cs typeface="Arial" pitchFamily="34" charset="0"/>
            </a:rPr>
            <a:t>The NZS Fund</a:t>
          </a:r>
          <a:r>
            <a:rPr lang="en-NZ" sz="1100" baseline="0">
              <a:solidFill>
                <a:schemeClr val="dk1"/>
              </a:solidFill>
              <a:latin typeface="Arial" pitchFamily="34" charset="0"/>
              <a:ea typeface="+mn-ea"/>
              <a:cs typeface="Arial" pitchFamily="34" charset="0"/>
            </a:rPr>
            <a:t> was e</a:t>
          </a:r>
          <a:r>
            <a:rPr lang="en-NZ" sz="1100">
              <a:solidFill>
                <a:schemeClr val="dk1"/>
              </a:solidFill>
              <a:latin typeface="Arial" pitchFamily="34" charset="0"/>
              <a:ea typeface="+mn-ea"/>
              <a:cs typeface="Arial" pitchFamily="34" charset="0"/>
            </a:rPr>
            <a:t>stablished under the New Zealand Superannuation and Retirement Income Act 2001 to partially provide for the future cost of funding New Zealand superannuation payments. </a:t>
          </a:r>
          <a:endParaRPr lang="en-NZ" sz="1100" baseline="0">
            <a:solidFill>
              <a:schemeClr val="dk1"/>
            </a:solidFill>
            <a:latin typeface="Arial" pitchFamily="34" charset="0"/>
            <a:ea typeface="+mn-ea"/>
            <a:cs typeface="Arial" pitchFamily="34" charset="0"/>
          </a:endParaRPr>
        </a:p>
        <a:p>
          <a:endParaRPr lang="en-NZ"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133350</xdr:rowOff>
    </xdr:from>
    <xdr:to>
      <xdr:col>8</xdr:col>
      <xdr:colOff>417198</xdr:colOff>
      <xdr:row>31</xdr:row>
      <xdr:rowOff>123825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33375"/>
          <a:ext cx="5293998" cy="484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NZ" sz="1100" baseline="0">
            <a:solidFill>
              <a:schemeClr val="dk1"/>
            </a:solidFill>
            <a:latin typeface="+mn-lt"/>
            <a:ea typeface="+mn-ea"/>
            <a:cs typeface="+mn-cs"/>
          </a:endParaRPr>
        </a:p>
        <a:p>
          <a:r>
            <a:rPr lang="en-NZ" sz="1100" u="sng">
              <a:latin typeface="Arial" pitchFamily="34" charset="0"/>
              <a:cs typeface="Arial" pitchFamily="34" charset="0"/>
            </a:rPr>
            <a:t>Fiscal Data</a:t>
          </a:r>
        </a:p>
        <a:p>
          <a:endParaRPr lang="en-NZ" sz="1100" u="sng">
            <a:latin typeface="Arial" pitchFamily="34" charset="0"/>
            <a:cs typeface="Arial" pitchFamily="34" charset="0"/>
          </a:endParaRPr>
        </a:p>
        <a:p>
          <a:r>
            <a:rPr lang="en-NZ" sz="1100">
              <a:latin typeface="Arial" pitchFamily="34" charset="0"/>
              <a:cs typeface="Arial" pitchFamily="34" charset="0"/>
            </a:rPr>
            <a:t>Data from 1972 – 1996 is found in the annual Budget documents and the corresponding end of financial year Financial Statements of the Government of New Zealand</a:t>
          </a:r>
          <a:r>
            <a:rPr lang="en-NZ" sz="1100" baseline="0">
              <a:latin typeface="Arial" pitchFamily="34" charset="0"/>
              <a:cs typeface="Arial" pitchFamily="34" charset="0"/>
            </a:rPr>
            <a:t>.</a:t>
          </a:r>
        </a:p>
        <a:p>
          <a:pPr marL="0" marR="0" indent="0" defTabSz="914400" eaLnBrk="1" fontAlgn="auto" latinLnBrk="0" hangingPunct="1">
            <a:lnSpc>
              <a:spcPct val="100000"/>
            </a:lnSpc>
            <a:spcBef>
              <a:spcPts val="0"/>
            </a:spcBef>
            <a:spcAft>
              <a:spcPts val="0"/>
            </a:spcAft>
            <a:buClrTx/>
            <a:buSzTx/>
            <a:buFontTx/>
            <a:buNone/>
            <a:tabLst/>
            <a:defRPr/>
          </a:pPr>
          <a:endParaRPr lang="en-NZ" sz="1100" baseline="0">
            <a:solidFill>
              <a:schemeClr val="dk1"/>
            </a:solidFill>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NZ" sz="1100" baseline="0">
              <a:solidFill>
                <a:schemeClr val="dk1"/>
              </a:solidFill>
              <a:latin typeface="Arial" pitchFamily="34" charset="0"/>
              <a:ea typeface="+mn-ea"/>
              <a:cs typeface="Arial" pitchFamily="34" charset="0"/>
            </a:rPr>
            <a:t>Data from 1997-2004 for accrual measures (expenses, revenue, OBEGAL, Operating Balance and debt series) are based on values published in the Financial Statements of Government but have been backdated to be consistent with International Financial Reporting Standards. The values therefore differ from those in the published accounts.  Cash measures (cash receipts and residual cash) are consistent with those in the published accounts.</a:t>
          </a:r>
          <a:endParaRPr lang="en-NZ" sz="1100">
            <a:solidFill>
              <a:schemeClr val="dk1"/>
            </a:solidFill>
            <a:latin typeface="Arial" pitchFamily="34" charset="0"/>
            <a:ea typeface="+mn-ea"/>
            <a:cs typeface="Arial" pitchFamily="34" charset="0"/>
          </a:endParaRPr>
        </a:p>
        <a:p>
          <a:endParaRPr lang="en-NZ" sz="1100" baseline="0">
            <a:latin typeface="Arial" pitchFamily="34" charset="0"/>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NZ" sz="1100" baseline="0">
              <a:solidFill>
                <a:schemeClr val="dk1"/>
              </a:solidFill>
              <a:latin typeface="Arial" pitchFamily="34" charset="0"/>
              <a:ea typeface="+mn-ea"/>
              <a:cs typeface="Arial" pitchFamily="34" charset="0"/>
            </a:rPr>
            <a:t>Data from 2005-2025 for accrual measures (expenses, revenue, OBEGAL, operating balance and debt series) are based on values published in the Financial Statements of Government but have been backdated to be consistent with Public Sector PBE Standards.  PBE Standards were adopted in 2015, therefore for 2005-2014 the values differ from those in the published accounts.  Cash measures  (cash receipts and residual cash) are consistent with those in the published accounts.</a:t>
          </a:r>
          <a:endParaRPr lang="en-NZ" sz="1100" baseline="0">
            <a:latin typeface="Arial" pitchFamily="34" charset="0"/>
            <a:cs typeface="Arial" pitchFamily="34" charset="0"/>
          </a:endParaRPr>
        </a:p>
        <a:p>
          <a:endParaRPr lang="en-NZ" sz="1100" baseline="0">
            <a:solidFill>
              <a:schemeClr val="dk1"/>
            </a:solidFill>
            <a:latin typeface="Arial" pitchFamily="34" charset="0"/>
            <a:ea typeface="+mn-ea"/>
            <a:cs typeface="Arial" pitchFamily="34" charset="0"/>
          </a:endParaRPr>
        </a:p>
        <a:p>
          <a:pPr fontAlgn="base"/>
          <a:r>
            <a:rPr lang="en-NZ" sz="1100" i="0" u="sng" baseline="0">
              <a:solidFill>
                <a:schemeClr val="dk1"/>
              </a:solidFill>
              <a:latin typeface="Arial" pitchFamily="34" charset="0"/>
              <a:ea typeface="+mn-ea"/>
              <a:cs typeface="Arial" pitchFamily="34" charset="0"/>
            </a:rPr>
            <a:t>Nominal GDP</a:t>
          </a:r>
        </a:p>
        <a:p>
          <a:pPr fontAlgn="base"/>
          <a:endParaRPr lang="en-NZ" sz="1100" baseline="0">
            <a:solidFill>
              <a:schemeClr val="dk1"/>
            </a:solidFill>
            <a:latin typeface="Arial" pitchFamily="34" charset="0"/>
            <a:ea typeface="+mn-ea"/>
            <a:cs typeface="Arial" pitchFamily="34" charset="0"/>
          </a:endParaRPr>
        </a:p>
        <a:p>
          <a:pPr eaLnBrk="1" fontAlgn="auto" latinLnBrk="0" hangingPunct="1"/>
          <a:r>
            <a:rPr lang="en-NZ" sz="1100">
              <a:solidFill>
                <a:schemeClr val="dk1"/>
              </a:solidFill>
              <a:latin typeface="Arial" pitchFamily="34" charset="0"/>
              <a:ea typeface="+mn-ea"/>
              <a:cs typeface="Arial" pitchFamily="34" charset="0"/>
            </a:rPr>
            <a:t>The</a:t>
          </a:r>
          <a:r>
            <a:rPr lang="en-NZ" sz="1100" baseline="0">
              <a:solidFill>
                <a:schemeClr val="dk1"/>
              </a:solidFill>
              <a:latin typeface="Arial" pitchFamily="34" charset="0"/>
              <a:ea typeface="+mn-ea"/>
              <a:cs typeface="Arial" pitchFamily="34" charset="0"/>
            </a:rPr>
            <a:t> nominal GDP track is based on the quarterly </a:t>
          </a:r>
          <a:r>
            <a:rPr lang="en-NZ" sz="1100">
              <a:solidFill>
                <a:schemeClr val="dk1"/>
              </a:solidFill>
              <a:latin typeface="Arial" pitchFamily="34" charset="0"/>
              <a:ea typeface="+mn-ea"/>
              <a:cs typeface="Arial" pitchFamily="34" charset="0"/>
            </a:rPr>
            <a:t>Infoshare series </a:t>
          </a:r>
          <a:r>
            <a:rPr lang="en-NZ" sz="1100" baseline="0">
              <a:solidFill>
                <a:schemeClr val="dk1"/>
              </a:solidFill>
              <a:latin typeface="Arial" pitchFamily="34" charset="0"/>
              <a:ea typeface="+mn-ea"/>
              <a:cs typeface="Arial" pitchFamily="34" charset="0"/>
            </a:rPr>
            <a:t>(</a:t>
          </a:r>
          <a:r>
            <a:rPr lang="en-NZ" sz="1100" baseline="0">
              <a:solidFill>
                <a:sysClr val="windowText" lastClr="000000"/>
              </a:solidFill>
              <a:latin typeface="Arial" pitchFamily="34" charset="0"/>
              <a:ea typeface="+mn-ea"/>
              <a:cs typeface="Arial" pitchFamily="34" charset="0"/>
            </a:rPr>
            <a:t>SNDQ.SG02NAC00B15Z</a:t>
          </a:r>
          <a:r>
            <a:rPr lang="en-NZ" sz="1100">
              <a:solidFill>
                <a:schemeClr val="dk1"/>
              </a:solidFill>
              <a:latin typeface="Arial" pitchFamily="34" charset="0"/>
              <a:ea typeface="+mn-ea"/>
              <a:cs typeface="Arial" pitchFamily="34" charset="0"/>
            </a:rPr>
            <a:t>) available</a:t>
          </a:r>
          <a:r>
            <a:rPr lang="en-NZ" sz="1100" baseline="0">
              <a:solidFill>
                <a:schemeClr val="dk1"/>
              </a:solidFill>
              <a:latin typeface="Arial" pitchFamily="34" charset="0"/>
              <a:ea typeface="+mn-ea"/>
              <a:cs typeface="Arial" pitchFamily="34" charset="0"/>
            </a:rPr>
            <a:t> from Statistics New Zealand</a:t>
          </a:r>
          <a:r>
            <a:rPr lang="en-NZ" sz="1100">
              <a:solidFill>
                <a:schemeClr val="dk1"/>
              </a:solidFill>
              <a:latin typeface="Arial" pitchFamily="34" charset="0"/>
              <a:ea typeface="+mn-ea"/>
              <a:cs typeface="Arial" pitchFamily="34" charset="0"/>
            </a:rPr>
            <a:t>. </a:t>
          </a:r>
        </a:p>
        <a:p>
          <a:pPr eaLnBrk="1" fontAlgn="auto" latinLnBrk="0" hangingPunct="1"/>
          <a:endParaRPr lang="en-NZ" sz="1100" baseline="0">
            <a:solidFill>
              <a:schemeClr val="dk1"/>
            </a:solidFill>
            <a:latin typeface="Arial" pitchFamily="34" charset="0"/>
            <a:ea typeface="+mn-ea"/>
            <a:cs typeface="Arial" pitchFamily="34" charset="0"/>
          </a:endParaRPr>
        </a:p>
        <a:p>
          <a:pPr eaLnBrk="1" fontAlgn="auto" latinLnBrk="0" hangingPunct="1"/>
          <a:r>
            <a:rPr lang="en-NZ" sz="1100" baseline="0">
              <a:solidFill>
                <a:schemeClr val="dk1"/>
              </a:solidFill>
              <a:latin typeface="Arial" pitchFamily="34" charset="0"/>
              <a:ea typeface="+mn-ea"/>
              <a:cs typeface="Arial" pitchFamily="34" charset="0"/>
            </a:rPr>
            <a:t>Note - Values as a percentage of GDP may differ from those published due to revisions to the GDP series.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
  <sheetViews>
    <sheetView tabSelected="1" workbookViewId="0">
      <selection activeCell="A10" sqref="A10"/>
    </sheetView>
  </sheetViews>
  <sheetFormatPr defaultColWidth="9.28515625" defaultRowHeight="12.75"/>
  <cols>
    <col min="1" max="1" width="9.28515625" style="24" customWidth="1"/>
    <col min="2" max="13" width="9.28515625" style="24"/>
    <col min="14" max="14" width="11" style="24" customWidth="1"/>
    <col min="15" max="16384" width="9.28515625" style="24"/>
  </cols>
  <sheetData>
    <row r="1" spans="1:21" s="136" customFormat="1" ht="20.25">
      <c r="A1" s="135" t="s">
        <v>0</v>
      </c>
    </row>
    <row r="2" spans="1:21" s="136" customFormat="1" ht="18" customHeight="1">
      <c r="A2" s="135" t="s">
        <v>1</v>
      </c>
    </row>
    <row r="3" spans="1:21" s="137" customFormat="1" ht="17.25" customHeight="1">
      <c r="A3" s="77" t="s">
        <v>128</v>
      </c>
      <c r="B3" s="200"/>
      <c r="C3" s="200"/>
      <c r="N3" s="136"/>
      <c r="O3" s="136"/>
      <c r="P3" s="136"/>
      <c r="Q3" s="136"/>
      <c r="R3" s="136"/>
      <c r="S3" s="136"/>
      <c r="T3" s="136"/>
      <c r="U3" s="136"/>
    </row>
    <row r="4" spans="1:21" s="137" customFormat="1" ht="22.5" customHeight="1">
      <c r="A4" s="138" t="s">
        <v>2</v>
      </c>
      <c r="B4" s="136"/>
      <c r="C4" s="136"/>
      <c r="D4" s="136"/>
      <c r="E4" s="136"/>
      <c r="F4" s="136"/>
      <c r="G4" s="136"/>
      <c r="H4" s="136"/>
      <c r="I4" s="136"/>
      <c r="J4" s="136"/>
      <c r="K4" s="136"/>
      <c r="L4" s="136"/>
      <c r="M4" s="136"/>
      <c r="N4" s="136"/>
      <c r="O4" s="136"/>
      <c r="P4" s="136"/>
      <c r="Q4" s="136"/>
      <c r="R4" s="136"/>
      <c r="S4" s="136"/>
      <c r="T4" s="136"/>
      <c r="U4" s="136"/>
    </row>
    <row r="5" spans="1:21" s="137" customFormat="1"/>
    <row r="6" spans="1:21" s="137" customFormat="1">
      <c r="A6" s="139" t="s">
        <v>3</v>
      </c>
    </row>
  </sheetData>
  <phoneticPr fontId="2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9"/>
  <sheetViews>
    <sheetView topLeftCell="A48" zoomScaleNormal="100" zoomScalePageLayoutView="80" workbookViewId="0">
      <selection activeCell="L71" sqref="L71"/>
    </sheetView>
  </sheetViews>
  <sheetFormatPr defaultColWidth="9.28515625" defaultRowHeight="12.75"/>
  <cols>
    <col min="1" max="1" width="3.42578125" style="23" customWidth="1"/>
    <col min="2" max="2" width="37.7109375" style="23" customWidth="1"/>
    <col min="3" max="3" width="15.7109375" style="23" customWidth="1"/>
    <col min="4" max="4" width="17.7109375" style="23" customWidth="1"/>
    <col min="5" max="5" width="13.42578125" style="23" customWidth="1"/>
    <col min="6" max="6" width="59.7109375" style="23" customWidth="1"/>
    <col min="7" max="16384" width="9.28515625" style="23"/>
  </cols>
  <sheetData>
    <row r="1" spans="2:12" ht="15.75">
      <c r="B1" s="140" t="s">
        <v>4</v>
      </c>
      <c r="G1" s="136"/>
      <c r="H1" s="149"/>
      <c r="I1" s="149"/>
      <c r="J1" s="149"/>
      <c r="K1" s="149"/>
      <c r="L1" s="149"/>
    </row>
    <row r="2" spans="2:12">
      <c r="G2" s="149"/>
      <c r="H2" s="149"/>
      <c r="I2" s="149"/>
      <c r="J2" s="149"/>
      <c r="K2" s="149"/>
      <c r="L2" s="149"/>
    </row>
    <row r="3" spans="2:12">
      <c r="G3" s="149"/>
      <c r="H3" s="149"/>
      <c r="I3" s="149"/>
      <c r="J3" s="149"/>
      <c r="K3" s="149"/>
      <c r="L3" s="149"/>
    </row>
    <row r="4" spans="2:12">
      <c r="G4" s="149"/>
      <c r="H4" s="149"/>
      <c r="I4" s="149"/>
      <c r="J4" s="149"/>
      <c r="K4" s="149"/>
      <c r="L4" s="149"/>
    </row>
    <row r="5" spans="2:12">
      <c r="G5" s="149"/>
      <c r="H5" s="149"/>
      <c r="I5" s="149"/>
      <c r="J5" s="149"/>
      <c r="K5" s="149"/>
      <c r="L5" s="149"/>
    </row>
    <row r="139" spans="1:7">
      <c r="E139" s="149"/>
      <c r="F139" s="149"/>
      <c r="G139" s="149"/>
    </row>
    <row r="140" spans="1:7" ht="15">
      <c r="A140" s="38" t="s">
        <v>5</v>
      </c>
      <c r="E140" s="149"/>
      <c r="F140" s="149"/>
      <c r="G140" s="149"/>
    </row>
    <row r="142" spans="1:7" ht="39.75" customHeight="1">
      <c r="A142" s="181" t="s">
        <v>6</v>
      </c>
      <c r="B142" s="181"/>
      <c r="C142" s="55" t="s">
        <v>7</v>
      </c>
      <c r="D142" s="55" t="s">
        <v>8</v>
      </c>
      <c r="E142" s="54" t="s">
        <v>9</v>
      </c>
      <c r="F142" s="56" t="s">
        <v>10</v>
      </c>
    </row>
    <row r="143" spans="1:7" ht="16.5">
      <c r="A143" s="39" t="s">
        <v>11</v>
      </c>
      <c r="B143" s="40"/>
      <c r="C143" s="40"/>
      <c r="D143" s="40"/>
      <c r="E143" s="41"/>
      <c r="F143" s="42"/>
    </row>
    <row r="144" spans="1:7" ht="16.5">
      <c r="A144" s="43"/>
      <c r="B144" s="89" t="s">
        <v>12</v>
      </c>
      <c r="C144" s="86">
        <v>10528</v>
      </c>
      <c r="D144" s="86">
        <v>11473</v>
      </c>
      <c r="E144" s="86">
        <f>C144-D144</f>
        <v>-945</v>
      </c>
      <c r="F144" s="44"/>
    </row>
    <row r="145" spans="1:6" ht="16.5">
      <c r="A145" s="45"/>
      <c r="B145" s="89" t="s">
        <v>13</v>
      </c>
      <c r="C145" s="86">
        <v>4103</v>
      </c>
      <c r="D145" s="86">
        <v>4104</v>
      </c>
      <c r="E145" s="86">
        <f t="shared" ref="E145:E153" si="0">C145-D145</f>
        <v>-1</v>
      </c>
      <c r="F145" s="44"/>
    </row>
    <row r="146" spans="1:6" ht="16.5">
      <c r="A146" s="45"/>
      <c r="B146" s="89" t="s">
        <v>14</v>
      </c>
      <c r="C146" s="86">
        <v>4631</v>
      </c>
      <c r="D146" s="86">
        <v>4173</v>
      </c>
      <c r="E146" s="86">
        <f t="shared" si="0"/>
        <v>458</v>
      </c>
      <c r="F146" s="44"/>
    </row>
    <row r="147" spans="1:6" ht="16.5">
      <c r="A147" s="45"/>
      <c r="B147" s="89" t="s">
        <v>15</v>
      </c>
      <c r="C147" s="86">
        <v>2104</v>
      </c>
      <c r="D147" s="86">
        <v>1673</v>
      </c>
      <c r="E147" s="86">
        <f t="shared" si="0"/>
        <v>431</v>
      </c>
      <c r="F147" s="44"/>
    </row>
    <row r="148" spans="1:6" ht="16.5">
      <c r="A148" s="45"/>
      <c r="B148" s="89" t="s">
        <v>16</v>
      </c>
      <c r="C148" s="86">
        <v>1260</v>
      </c>
      <c r="D148" s="86">
        <v>1145</v>
      </c>
      <c r="E148" s="86">
        <f t="shared" si="0"/>
        <v>115</v>
      </c>
      <c r="F148" s="44"/>
    </row>
    <row r="149" spans="1:6" ht="16.5">
      <c r="A149" s="45"/>
      <c r="B149" s="89" t="s">
        <v>17</v>
      </c>
      <c r="C149" s="86">
        <v>1163</v>
      </c>
      <c r="D149" s="86">
        <v>1049</v>
      </c>
      <c r="E149" s="86">
        <f t="shared" si="0"/>
        <v>114</v>
      </c>
      <c r="F149" s="44"/>
    </row>
    <row r="150" spans="1:6" ht="16.5">
      <c r="A150" s="45"/>
      <c r="B150" s="89" t="s">
        <v>18</v>
      </c>
      <c r="C150" s="86">
        <v>805</v>
      </c>
      <c r="D150" s="86">
        <v>733</v>
      </c>
      <c r="E150" s="86">
        <f t="shared" si="0"/>
        <v>72</v>
      </c>
      <c r="F150" s="44"/>
    </row>
    <row r="151" spans="1:6" ht="16.5">
      <c r="A151" s="45"/>
      <c r="B151" s="89" t="s">
        <v>19</v>
      </c>
      <c r="C151" s="86">
        <v>909</v>
      </c>
      <c r="D151" s="86">
        <v>653</v>
      </c>
      <c r="E151" s="86">
        <f t="shared" si="0"/>
        <v>256</v>
      </c>
      <c r="F151" s="44"/>
    </row>
    <row r="152" spans="1:6" ht="49.5">
      <c r="A152" s="45"/>
      <c r="B152" s="89" t="s">
        <v>20</v>
      </c>
      <c r="C152" s="86">
        <v>114</v>
      </c>
      <c r="D152" s="86">
        <v>583</v>
      </c>
      <c r="E152" s="86">
        <f t="shared" si="0"/>
        <v>-469</v>
      </c>
      <c r="F152" s="46" t="s">
        <v>21</v>
      </c>
    </row>
    <row r="153" spans="1:6" ht="16.5">
      <c r="A153" s="47"/>
      <c r="B153" s="89" t="s">
        <v>22</v>
      </c>
      <c r="C153" s="86">
        <v>3557</v>
      </c>
      <c r="D153" s="86">
        <v>3788</v>
      </c>
      <c r="E153" s="86">
        <f t="shared" si="0"/>
        <v>-231</v>
      </c>
      <c r="F153" s="46"/>
    </row>
    <row r="154" spans="1:6" ht="16.5">
      <c r="A154" s="45"/>
      <c r="B154" s="48"/>
      <c r="C154" s="87"/>
      <c r="D154" s="87"/>
      <c r="E154" s="87"/>
      <c r="F154" s="49"/>
    </row>
    <row r="155" spans="1:6" ht="40.9" customHeight="1">
      <c r="A155" s="184" t="s">
        <v>23</v>
      </c>
      <c r="B155" s="185"/>
      <c r="C155" s="86">
        <v>29174</v>
      </c>
      <c r="D155" s="86">
        <v>28476</v>
      </c>
      <c r="E155" s="86">
        <f>C155-D155</f>
        <v>698</v>
      </c>
      <c r="F155" s="46" t="s">
        <v>24</v>
      </c>
    </row>
    <row r="156" spans="1:6" ht="16.5">
      <c r="A156" s="45"/>
      <c r="B156" s="48"/>
      <c r="C156" s="87"/>
      <c r="D156" s="87"/>
      <c r="E156" s="87"/>
      <c r="F156" s="143"/>
    </row>
    <row r="157" spans="1:6" ht="16.5">
      <c r="A157" s="50" t="s">
        <v>25</v>
      </c>
      <c r="B157" s="51"/>
      <c r="C157" s="86">
        <v>29598</v>
      </c>
      <c r="D157" s="86">
        <v>29020</v>
      </c>
      <c r="E157" s="86">
        <f>C157-D157</f>
        <v>578</v>
      </c>
      <c r="F157" s="46"/>
    </row>
    <row r="158" spans="1:6" ht="16.5">
      <c r="A158" s="52"/>
      <c r="B158" s="48"/>
      <c r="C158" s="87"/>
      <c r="D158" s="87"/>
      <c r="E158" s="87"/>
      <c r="F158" s="49"/>
    </row>
    <row r="159" spans="1:6" ht="47.65" customHeight="1">
      <c r="A159" s="182" t="s">
        <v>26</v>
      </c>
      <c r="B159" s="183"/>
      <c r="C159" s="88">
        <v>792</v>
      </c>
      <c r="D159" s="88">
        <v>755</v>
      </c>
      <c r="E159" s="88">
        <f>C159-D159</f>
        <v>37</v>
      </c>
      <c r="F159" s="53" t="s">
        <v>27</v>
      </c>
    </row>
  </sheetData>
  <mergeCells count="3">
    <mergeCell ref="A142:B142"/>
    <mergeCell ref="A159:B159"/>
    <mergeCell ref="A155:B155"/>
  </mergeCells>
  <phoneticPr fontId="23" type="noConversion"/>
  <pageMargins left="0.70866141732283472" right="0.70866141732283472" top="0.74803149606299213" bottom="0.74803149606299213" header="0.31496062992125984" footer="0.31496062992125984"/>
  <pageSetup paperSize="9" scale="60" fitToHeight="4" orientation="portrait" horizontalDpi="300" verticalDpi="300" r:id="rId1"/>
  <rowBreaks count="2" manualBreakCount="2">
    <brk id="79" max="5" man="1"/>
    <brk id="139"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0"/>
  <sheetViews>
    <sheetView zoomScale="90" zoomScaleNormal="90" workbookViewId="0">
      <selection activeCell="F40" sqref="F40"/>
    </sheetView>
  </sheetViews>
  <sheetFormatPr defaultColWidth="9.28515625" defaultRowHeight="12.75"/>
  <cols>
    <col min="1" max="16384" width="9.28515625" style="79"/>
  </cols>
  <sheetData>
    <row r="1" spans="1:1" ht="15.75">
      <c r="A1" s="78" t="s">
        <v>28</v>
      </c>
    </row>
    <row r="3" spans="1:1">
      <c r="A3" s="80"/>
    </row>
    <row r="139" spans="5:6">
      <c r="E139" s="148"/>
      <c r="F139" s="148"/>
    </row>
    <row r="140" spans="5:6">
      <c r="E140" s="148"/>
      <c r="F140" s="148"/>
    </row>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80"/>
  <sheetViews>
    <sheetView zoomScale="85" zoomScaleNormal="85" workbookViewId="0">
      <pane xSplit="1" ySplit="4" topLeftCell="B91" activePane="bottomRight" state="frozen"/>
      <selection pane="topRight" activeCell="K94" sqref="K93:K94"/>
      <selection pane="bottomLeft" activeCell="K94" sqref="K93:K94"/>
      <selection pane="bottomRight" activeCell="P124" sqref="P124"/>
    </sheetView>
  </sheetViews>
  <sheetFormatPr defaultRowHeight="12.75"/>
  <cols>
    <col min="1" max="1" width="47.5703125" bestFit="1" customWidth="1"/>
    <col min="2" max="2" width="6.28515625" customWidth="1"/>
    <col min="3" max="3" width="11.5703125" customWidth="1"/>
    <col min="4" max="4" width="9.28515625" customWidth="1"/>
    <col min="5" max="5" width="10" customWidth="1"/>
    <col min="6" max="6" width="3" customWidth="1"/>
    <col min="7" max="7" width="13.28515625" customWidth="1"/>
    <col min="8" max="8" width="10.7109375" customWidth="1"/>
    <col min="9" max="9" width="11.28515625" customWidth="1"/>
    <col min="10" max="10" width="14" customWidth="1"/>
    <col min="11" max="11" width="9" customWidth="1"/>
    <col min="12" max="12" width="10.42578125" bestFit="1" customWidth="1"/>
    <col min="13" max="13" width="16.42578125" customWidth="1"/>
    <col min="14" max="14" width="19.7109375" customWidth="1"/>
    <col min="15" max="15" width="22" customWidth="1"/>
    <col min="16" max="16" width="10.7109375" bestFit="1" customWidth="1"/>
    <col min="17" max="17" width="10.5703125" customWidth="1"/>
    <col min="18" max="18" width="77.5703125" bestFit="1" customWidth="1"/>
  </cols>
  <sheetData>
    <row r="1" spans="1:19" ht="15.75">
      <c r="A1" s="1" t="s">
        <v>29</v>
      </c>
    </row>
    <row r="2" spans="1:19" ht="12.75" customHeight="1">
      <c r="A2" s="3"/>
    </row>
    <row r="3" spans="1:19" ht="16.5" customHeight="1">
      <c r="A3" s="57" t="s">
        <v>30</v>
      </c>
      <c r="B3" s="8"/>
      <c r="C3" s="194" t="s">
        <v>29</v>
      </c>
      <c r="D3" s="194"/>
      <c r="E3" s="194"/>
      <c r="F3" s="61"/>
      <c r="G3" s="189" t="s">
        <v>31</v>
      </c>
      <c r="H3" s="189"/>
      <c r="I3" s="189"/>
      <c r="J3" s="189"/>
      <c r="K3" s="189"/>
      <c r="L3" s="189"/>
      <c r="M3" s="189"/>
      <c r="N3" s="189"/>
      <c r="O3" s="189"/>
      <c r="P3" s="189"/>
      <c r="Q3" s="190"/>
      <c r="R3" s="72"/>
    </row>
    <row r="4" spans="1:19" ht="66" customHeight="1">
      <c r="A4" s="58"/>
      <c r="B4" s="5"/>
      <c r="C4" s="6" t="s">
        <v>32</v>
      </c>
      <c r="D4" s="6" t="s">
        <v>33</v>
      </c>
      <c r="E4" s="6" t="s">
        <v>34</v>
      </c>
      <c r="F4" s="33"/>
      <c r="G4" s="6" t="s">
        <v>12</v>
      </c>
      <c r="H4" s="6" t="s">
        <v>13</v>
      </c>
      <c r="I4" s="6" t="s">
        <v>14</v>
      </c>
      <c r="J4" s="6" t="s">
        <v>15</v>
      </c>
      <c r="K4" s="6" t="s">
        <v>16</v>
      </c>
      <c r="L4" s="6" t="s">
        <v>17</v>
      </c>
      <c r="M4" s="6" t="s">
        <v>18</v>
      </c>
      <c r="N4" s="6" t="s">
        <v>19</v>
      </c>
      <c r="O4" s="6" t="s">
        <v>35</v>
      </c>
      <c r="P4" s="6" t="s">
        <v>22</v>
      </c>
      <c r="Q4" s="59" t="s">
        <v>36</v>
      </c>
      <c r="R4" s="72"/>
    </row>
    <row r="5" spans="1:19" ht="12.75" customHeight="1">
      <c r="A5" s="191" t="s">
        <v>37</v>
      </c>
      <c r="B5" s="11">
        <v>1972</v>
      </c>
      <c r="C5" s="98">
        <v>1682.8</v>
      </c>
      <c r="D5" s="98"/>
      <c r="E5" s="98"/>
      <c r="F5" s="92"/>
      <c r="G5" s="98">
        <v>391.9</v>
      </c>
      <c r="H5" s="98">
        <v>291.8</v>
      </c>
      <c r="I5" s="98">
        <v>335</v>
      </c>
      <c r="J5" s="98">
        <v>113.80000000000001</v>
      </c>
      <c r="K5" s="98">
        <v>32.200000000000003</v>
      </c>
      <c r="L5" s="98">
        <v>118.8</v>
      </c>
      <c r="M5" s="98">
        <v>144.4</v>
      </c>
      <c r="N5" s="98">
        <v>43.3</v>
      </c>
      <c r="O5" s="98">
        <v>131.6</v>
      </c>
      <c r="P5" s="98">
        <v>168</v>
      </c>
      <c r="Q5" s="99"/>
      <c r="R5" s="77"/>
      <c r="S5" s="103"/>
    </row>
    <row r="6" spans="1:19">
      <c r="A6" s="192"/>
      <c r="B6" s="13">
        <v>1973</v>
      </c>
      <c r="C6" s="92">
        <v>2006.2</v>
      </c>
      <c r="D6" s="92"/>
      <c r="E6" s="92"/>
      <c r="F6" s="92"/>
      <c r="G6" s="92">
        <v>527.29999999999995</v>
      </c>
      <c r="H6" s="92">
        <v>343.1</v>
      </c>
      <c r="I6" s="92">
        <v>376.8</v>
      </c>
      <c r="J6" s="92">
        <v>133.30000000000001</v>
      </c>
      <c r="K6" s="92">
        <v>39.799999999999997</v>
      </c>
      <c r="L6" s="92">
        <v>128.1</v>
      </c>
      <c r="M6" s="92">
        <v>183.1</v>
      </c>
      <c r="N6" s="92">
        <v>68.7</v>
      </c>
      <c r="O6" s="92">
        <v>143.5</v>
      </c>
      <c r="P6" s="92">
        <v>186.5</v>
      </c>
      <c r="Q6" s="90"/>
      <c r="R6" s="72"/>
      <c r="S6" s="103"/>
    </row>
    <row r="7" spans="1:19">
      <c r="A7" s="192"/>
      <c r="B7" s="13">
        <v>1974</v>
      </c>
      <c r="C7" s="92">
        <v>2303.9</v>
      </c>
      <c r="D7" s="92"/>
      <c r="E7" s="92"/>
      <c r="F7" s="92"/>
      <c r="G7" s="92">
        <v>646.79999999999995</v>
      </c>
      <c r="H7" s="92">
        <v>401.1</v>
      </c>
      <c r="I7" s="92">
        <v>440.2</v>
      </c>
      <c r="J7" s="92">
        <v>168</v>
      </c>
      <c r="K7" s="92">
        <v>46.3</v>
      </c>
      <c r="L7" s="92">
        <v>138.69999999999999</v>
      </c>
      <c r="M7" s="92">
        <v>168.7</v>
      </c>
      <c r="N7" s="92">
        <v>75.2</v>
      </c>
      <c r="O7" s="92">
        <v>194.8</v>
      </c>
      <c r="P7" s="92">
        <v>201.9</v>
      </c>
      <c r="Q7" s="90"/>
      <c r="R7" s="72"/>
      <c r="S7" s="103"/>
    </row>
    <row r="8" spans="1:19">
      <c r="A8" s="192"/>
      <c r="B8" s="13">
        <v>1975</v>
      </c>
      <c r="C8" s="92">
        <v>2977.7</v>
      </c>
      <c r="D8" s="92"/>
      <c r="E8" s="92"/>
      <c r="F8" s="92"/>
      <c r="G8" s="92">
        <v>789.5</v>
      </c>
      <c r="H8" s="92">
        <v>492.3</v>
      </c>
      <c r="I8" s="92">
        <v>526.6</v>
      </c>
      <c r="J8" s="92">
        <v>228.40000000000003</v>
      </c>
      <c r="K8" s="92">
        <v>61</v>
      </c>
      <c r="L8" s="92">
        <v>163</v>
      </c>
      <c r="M8" s="92">
        <v>211.2</v>
      </c>
      <c r="N8" s="92">
        <v>145.30000000000001</v>
      </c>
      <c r="O8" s="92">
        <v>313.5</v>
      </c>
      <c r="P8" s="92">
        <v>221.8</v>
      </c>
      <c r="Q8" s="90"/>
      <c r="R8" s="72"/>
      <c r="S8" s="103"/>
    </row>
    <row r="9" spans="1:19">
      <c r="A9" s="192"/>
      <c r="B9" s="13">
        <v>1976</v>
      </c>
      <c r="C9" s="92">
        <v>3562</v>
      </c>
      <c r="D9" s="92"/>
      <c r="E9" s="92"/>
      <c r="F9" s="92"/>
      <c r="G9" s="92">
        <v>997</v>
      </c>
      <c r="H9" s="92">
        <v>605.70000000000005</v>
      </c>
      <c r="I9" s="92">
        <v>627</v>
      </c>
      <c r="J9" s="92">
        <v>272.69999999999993</v>
      </c>
      <c r="K9" s="92">
        <v>77.8</v>
      </c>
      <c r="L9" s="92">
        <v>188.4</v>
      </c>
      <c r="M9" s="92">
        <v>274.8</v>
      </c>
      <c r="N9" s="92">
        <v>228.39999999999998</v>
      </c>
      <c r="O9" s="92">
        <v>494.1</v>
      </c>
      <c r="P9" s="92">
        <v>272.8</v>
      </c>
      <c r="Q9" s="90"/>
      <c r="R9" s="72"/>
      <c r="S9" s="103"/>
    </row>
    <row r="10" spans="1:19">
      <c r="A10" s="192"/>
      <c r="B10" s="13">
        <v>1977</v>
      </c>
      <c r="C10" s="92">
        <v>3956.9</v>
      </c>
      <c r="D10" s="92"/>
      <c r="E10" s="92"/>
      <c r="F10" s="92"/>
      <c r="G10" s="92">
        <v>1158.9000000000001</v>
      </c>
      <c r="H10" s="92">
        <v>689.1</v>
      </c>
      <c r="I10" s="92">
        <v>699.4</v>
      </c>
      <c r="J10" s="92">
        <v>315.20000000000005</v>
      </c>
      <c r="K10" s="92">
        <v>79.599999999999994</v>
      </c>
      <c r="L10" s="92">
        <v>210.7</v>
      </c>
      <c r="M10" s="92">
        <v>230.6</v>
      </c>
      <c r="N10" s="92">
        <v>293.2</v>
      </c>
      <c r="O10" s="92">
        <v>283.2</v>
      </c>
      <c r="P10" s="92">
        <v>371.3</v>
      </c>
      <c r="Q10" s="90"/>
      <c r="R10" s="72"/>
      <c r="S10" s="103"/>
    </row>
    <row r="11" spans="1:19">
      <c r="A11" s="192"/>
      <c r="B11" s="13">
        <v>1978</v>
      </c>
      <c r="C11" s="92">
        <v>4959.1000000000004</v>
      </c>
      <c r="D11" s="92"/>
      <c r="E11" s="92"/>
      <c r="F11" s="92"/>
      <c r="G11" s="92">
        <v>1569.3</v>
      </c>
      <c r="H11" s="92">
        <v>808.5</v>
      </c>
      <c r="I11" s="92">
        <v>807.5</v>
      </c>
      <c r="J11" s="92">
        <v>337.7</v>
      </c>
      <c r="K11" s="92">
        <v>107.5</v>
      </c>
      <c r="L11" s="92">
        <v>248.2</v>
      </c>
      <c r="M11" s="92">
        <v>247.6</v>
      </c>
      <c r="N11" s="92">
        <v>375.9</v>
      </c>
      <c r="O11" s="92">
        <v>368.7</v>
      </c>
      <c r="P11" s="92">
        <v>471.3</v>
      </c>
      <c r="Q11" s="90"/>
      <c r="R11" s="72"/>
      <c r="S11" s="103"/>
    </row>
    <row r="12" spans="1:19">
      <c r="A12" s="192"/>
      <c r="B12" s="13">
        <v>1979</v>
      </c>
      <c r="C12" s="92">
        <v>6099.5</v>
      </c>
      <c r="D12" s="92"/>
      <c r="E12" s="92"/>
      <c r="F12" s="92"/>
      <c r="G12" s="92">
        <v>1853.5</v>
      </c>
      <c r="H12" s="92">
        <v>980.1</v>
      </c>
      <c r="I12" s="92">
        <v>929.3</v>
      </c>
      <c r="J12" s="92">
        <v>420</v>
      </c>
      <c r="K12" s="92">
        <v>139.30000000000001</v>
      </c>
      <c r="L12" s="92">
        <v>293.2</v>
      </c>
      <c r="M12" s="92">
        <v>279.10000000000002</v>
      </c>
      <c r="N12" s="92">
        <v>486.1</v>
      </c>
      <c r="O12" s="92">
        <v>507.5</v>
      </c>
      <c r="P12" s="92">
        <v>595.79999999999995</v>
      </c>
      <c r="Q12" s="90"/>
      <c r="R12" s="72"/>
      <c r="S12" s="103"/>
    </row>
    <row r="13" spans="1:19">
      <c r="A13" s="192"/>
      <c r="B13" s="13">
        <v>1980</v>
      </c>
      <c r="C13" s="92">
        <v>6971.2</v>
      </c>
      <c r="D13" s="92"/>
      <c r="E13" s="92"/>
      <c r="F13" s="92"/>
      <c r="G13" s="92">
        <v>2175</v>
      </c>
      <c r="H13" s="92">
        <v>1136.2</v>
      </c>
      <c r="I13" s="92">
        <v>1009.3</v>
      </c>
      <c r="J13" s="92">
        <v>467.7</v>
      </c>
      <c r="K13" s="92">
        <v>164.7</v>
      </c>
      <c r="L13" s="92">
        <v>340.8</v>
      </c>
      <c r="M13" s="92">
        <v>265</v>
      </c>
      <c r="N13" s="92">
        <v>398.5</v>
      </c>
      <c r="O13" s="92">
        <v>486.6</v>
      </c>
      <c r="P13" s="92">
        <v>766.4</v>
      </c>
      <c r="Q13" s="90"/>
      <c r="R13" s="72"/>
      <c r="S13" s="103"/>
    </row>
    <row r="14" spans="1:19">
      <c r="A14" s="192"/>
      <c r="B14" s="13">
        <v>1981</v>
      </c>
      <c r="C14" s="92">
        <v>8517.2999999999993</v>
      </c>
      <c r="D14" s="92"/>
      <c r="E14" s="92"/>
      <c r="F14" s="92"/>
      <c r="G14" s="92">
        <v>2589.6999999999998</v>
      </c>
      <c r="H14" s="92">
        <v>1356.3</v>
      </c>
      <c r="I14" s="92">
        <v>1292</v>
      </c>
      <c r="J14" s="92">
        <v>568.4</v>
      </c>
      <c r="K14" s="92">
        <v>208.8</v>
      </c>
      <c r="L14" s="92">
        <v>446.4</v>
      </c>
      <c r="M14" s="92">
        <v>332.6</v>
      </c>
      <c r="N14" s="92">
        <v>434.70000000000005</v>
      </c>
      <c r="O14" s="92">
        <v>502.5</v>
      </c>
      <c r="P14" s="92">
        <v>896.9</v>
      </c>
      <c r="Q14" s="90"/>
      <c r="R14" s="72"/>
      <c r="S14" s="103"/>
    </row>
    <row r="15" spans="1:19">
      <c r="A15" s="192"/>
      <c r="B15" s="13">
        <v>1982</v>
      </c>
      <c r="C15" s="92">
        <v>10407.700000000001</v>
      </c>
      <c r="D15" s="92"/>
      <c r="E15" s="92"/>
      <c r="F15" s="92"/>
      <c r="G15" s="92">
        <v>3042.3</v>
      </c>
      <c r="H15" s="92">
        <v>1601.2</v>
      </c>
      <c r="I15" s="92">
        <v>1493.2</v>
      </c>
      <c r="J15" s="92">
        <v>673</v>
      </c>
      <c r="K15" s="92">
        <v>253.5</v>
      </c>
      <c r="L15" s="92">
        <v>581.1</v>
      </c>
      <c r="M15" s="92">
        <v>460.6</v>
      </c>
      <c r="N15" s="92">
        <v>652.4</v>
      </c>
      <c r="O15" s="92">
        <v>657.7</v>
      </c>
      <c r="P15" s="92">
        <v>1211</v>
      </c>
      <c r="Q15" s="90"/>
      <c r="R15" s="72"/>
      <c r="S15" s="103"/>
    </row>
    <row r="16" spans="1:19" ht="12.75" customHeight="1">
      <c r="A16" s="192"/>
      <c r="B16" s="13">
        <v>1983</v>
      </c>
      <c r="C16" s="92">
        <v>11956.4</v>
      </c>
      <c r="D16" s="92"/>
      <c r="E16" s="92"/>
      <c r="F16" s="92"/>
      <c r="G16" s="92">
        <v>3744.2</v>
      </c>
      <c r="H16" s="92">
        <v>1766</v>
      </c>
      <c r="I16" s="92">
        <v>1638.8</v>
      </c>
      <c r="J16" s="92">
        <v>707.10000000000014</v>
      </c>
      <c r="K16" s="92">
        <v>266.3</v>
      </c>
      <c r="L16" s="92">
        <v>644.1</v>
      </c>
      <c r="M16" s="92">
        <v>495.6</v>
      </c>
      <c r="N16" s="92">
        <v>742.1</v>
      </c>
      <c r="O16" s="92">
        <v>710.90000000000009</v>
      </c>
      <c r="P16" s="92">
        <v>1492.6</v>
      </c>
      <c r="Q16" s="90"/>
      <c r="R16" s="72"/>
      <c r="S16" s="103"/>
    </row>
    <row r="17" spans="1:19" ht="12.75" customHeight="1">
      <c r="A17" s="192"/>
      <c r="B17" s="13">
        <v>1984</v>
      </c>
      <c r="C17" s="92">
        <v>13424.6</v>
      </c>
      <c r="D17" s="92"/>
      <c r="E17" s="92"/>
      <c r="F17" s="92"/>
      <c r="G17" s="92">
        <v>4049.4</v>
      </c>
      <c r="H17" s="92">
        <v>1804.9</v>
      </c>
      <c r="I17" s="92">
        <v>1674.3</v>
      </c>
      <c r="J17" s="92">
        <v>729.2</v>
      </c>
      <c r="K17" s="92">
        <v>271.3</v>
      </c>
      <c r="L17" s="92">
        <v>660.2</v>
      </c>
      <c r="M17" s="92">
        <v>537.1</v>
      </c>
      <c r="N17" s="92">
        <v>896.2</v>
      </c>
      <c r="O17" s="92">
        <v>996.1</v>
      </c>
      <c r="P17" s="92">
        <v>2041.9</v>
      </c>
      <c r="Q17" s="90"/>
      <c r="R17" s="72"/>
      <c r="S17" s="103"/>
    </row>
    <row r="18" spans="1:19" ht="12.75" customHeight="1">
      <c r="A18" s="192"/>
      <c r="B18" s="13">
        <v>1985</v>
      </c>
      <c r="C18" s="92">
        <v>14533.9</v>
      </c>
      <c r="D18" s="92"/>
      <c r="E18" s="92"/>
      <c r="F18" s="92"/>
      <c r="G18" s="92">
        <v>4457.5</v>
      </c>
      <c r="H18" s="92">
        <v>1911.5</v>
      </c>
      <c r="I18" s="92">
        <v>1728.6</v>
      </c>
      <c r="J18" s="92">
        <v>807.5</v>
      </c>
      <c r="K18" s="92">
        <v>292.10000000000002</v>
      </c>
      <c r="L18" s="92">
        <v>745.1</v>
      </c>
      <c r="M18" s="92">
        <v>543.29999999999995</v>
      </c>
      <c r="N18" s="92">
        <v>873.80000000000007</v>
      </c>
      <c r="O18" s="92">
        <v>838.7</v>
      </c>
      <c r="P18" s="92">
        <v>2562.6</v>
      </c>
      <c r="Q18" s="90"/>
      <c r="R18" s="72"/>
      <c r="S18" s="103"/>
    </row>
    <row r="19" spans="1:19" ht="12.75" customHeight="1">
      <c r="A19" s="192"/>
      <c r="B19" s="13">
        <v>1986</v>
      </c>
      <c r="C19" s="92">
        <v>16987.2</v>
      </c>
      <c r="D19" s="92"/>
      <c r="E19" s="92"/>
      <c r="F19" s="92"/>
      <c r="G19" s="92">
        <v>5449.1</v>
      </c>
      <c r="H19" s="92">
        <v>2309</v>
      </c>
      <c r="I19" s="92">
        <v>2010.3</v>
      </c>
      <c r="J19" s="92">
        <v>1048.2</v>
      </c>
      <c r="K19" s="92">
        <v>391.1</v>
      </c>
      <c r="L19" s="92">
        <v>852.1</v>
      </c>
      <c r="M19" s="92">
        <v>865.6</v>
      </c>
      <c r="N19" s="92">
        <v>755.2</v>
      </c>
      <c r="O19" s="92">
        <v>460.8</v>
      </c>
      <c r="P19" s="92">
        <v>3340</v>
      </c>
      <c r="Q19" s="90"/>
      <c r="R19" s="72"/>
      <c r="S19" s="103"/>
    </row>
    <row r="20" spans="1:19" ht="12.75" customHeight="1">
      <c r="A20" s="192"/>
      <c r="B20" s="161" t="s">
        <v>38</v>
      </c>
      <c r="C20" s="92">
        <v>20823</v>
      </c>
      <c r="D20" s="92"/>
      <c r="E20" s="92"/>
      <c r="F20" s="92"/>
      <c r="G20" s="92">
        <v>6479.3</v>
      </c>
      <c r="H20" s="92">
        <v>2957.3</v>
      </c>
      <c r="I20" s="92">
        <v>2595.1999999999998</v>
      </c>
      <c r="J20" s="92">
        <v>1205.5999999999999</v>
      </c>
      <c r="K20" s="92">
        <v>520.6</v>
      </c>
      <c r="L20" s="92">
        <v>1072.0999999999999</v>
      </c>
      <c r="M20" s="92">
        <v>1039.4000000000001</v>
      </c>
      <c r="N20" s="92">
        <v>1007.5</v>
      </c>
      <c r="O20" s="92">
        <v>476.4</v>
      </c>
      <c r="P20" s="92">
        <v>4091.9</v>
      </c>
      <c r="Q20" s="90"/>
      <c r="R20" s="72"/>
      <c r="S20" s="103"/>
    </row>
    <row r="21" spans="1:19" ht="12.75" customHeight="1">
      <c r="A21" s="192"/>
      <c r="B21" s="161" t="s">
        <v>39</v>
      </c>
      <c r="C21" s="92">
        <v>24905.7</v>
      </c>
      <c r="D21" s="92"/>
      <c r="E21" s="92"/>
      <c r="F21" s="92"/>
      <c r="G21" s="92">
        <v>7791.9</v>
      </c>
      <c r="H21" s="92">
        <v>3387.5</v>
      </c>
      <c r="I21" s="92">
        <v>3118.2</v>
      </c>
      <c r="J21" s="92">
        <v>1798.2</v>
      </c>
      <c r="K21" s="92">
        <v>681.4</v>
      </c>
      <c r="L21" s="92">
        <v>1257.5999999999999</v>
      </c>
      <c r="M21" s="92">
        <v>654.79999999999995</v>
      </c>
      <c r="N21" s="92">
        <v>1006.6</v>
      </c>
      <c r="O21" s="92">
        <v>343</v>
      </c>
      <c r="P21" s="92">
        <v>4970.8999999999996</v>
      </c>
      <c r="Q21" s="90"/>
      <c r="R21" s="72"/>
      <c r="S21" s="103"/>
    </row>
    <row r="22" spans="1:19" ht="12.75" customHeight="1">
      <c r="A22" s="193"/>
      <c r="B22" s="162" t="s">
        <v>40</v>
      </c>
      <c r="C22" s="94">
        <v>26427.5</v>
      </c>
      <c r="D22" s="94"/>
      <c r="E22" s="94"/>
      <c r="F22" s="92"/>
      <c r="G22" s="94">
        <v>9123.2999999999993</v>
      </c>
      <c r="H22" s="94">
        <v>3639.3</v>
      </c>
      <c r="I22" s="94">
        <v>3569.2</v>
      </c>
      <c r="J22" s="94">
        <v>1886.1</v>
      </c>
      <c r="K22" s="94">
        <v>863.7</v>
      </c>
      <c r="L22" s="94">
        <v>1366.9</v>
      </c>
      <c r="M22" s="94">
        <v>672</v>
      </c>
      <c r="N22" s="94">
        <v>872.1</v>
      </c>
      <c r="O22" s="94">
        <v>355.7</v>
      </c>
      <c r="P22" s="94">
        <v>4492.5</v>
      </c>
      <c r="Q22" s="91"/>
      <c r="R22" s="72"/>
      <c r="S22" s="103"/>
    </row>
    <row r="23" spans="1:19" ht="12.75" customHeight="1">
      <c r="A23" s="192" t="s">
        <v>41</v>
      </c>
      <c r="B23" s="161" t="s">
        <v>42</v>
      </c>
      <c r="C23" s="92">
        <v>29294.400000000001</v>
      </c>
      <c r="D23" s="92"/>
      <c r="E23" s="92"/>
      <c r="F23" s="92"/>
      <c r="G23" s="92">
        <v>10319.799999999999</v>
      </c>
      <c r="H23" s="92">
        <v>3782.2</v>
      </c>
      <c r="I23" s="92">
        <v>4068.2</v>
      </c>
      <c r="J23" s="92">
        <v>2376.5</v>
      </c>
      <c r="K23" s="92">
        <v>958.7</v>
      </c>
      <c r="L23" s="92">
        <v>1352.3</v>
      </c>
      <c r="M23" s="92">
        <v>888.3</v>
      </c>
      <c r="N23" s="92">
        <v>870.2</v>
      </c>
      <c r="O23" s="92">
        <v>289.3</v>
      </c>
      <c r="P23" s="92">
        <v>4724.5</v>
      </c>
      <c r="Q23" s="90"/>
      <c r="R23" s="72"/>
      <c r="S23" s="103"/>
    </row>
    <row r="24" spans="1:19" ht="12.75" customHeight="1">
      <c r="A24" s="192"/>
      <c r="B24" s="161" t="s">
        <v>43</v>
      </c>
      <c r="C24" s="92">
        <v>30298</v>
      </c>
      <c r="D24" s="92"/>
      <c r="E24" s="92"/>
      <c r="F24" s="92"/>
      <c r="G24" s="92">
        <v>10317</v>
      </c>
      <c r="H24" s="92">
        <v>3986</v>
      </c>
      <c r="I24" s="92">
        <v>4401</v>
      </c>
      <c r="J24" s="92">
        <v>2446.9</v>
      </c>
      <c r="K24" s="92">
        <v>1003.9</v>
      </c>
      <c r="L24" s="92">
        <v>1319.2</v>
      </c>
      <c r="M24" s="92">
        <v>826</v>
      </c>
      <c r="N24" s="92">
        <v>1038.8</v>
      </c>
      <c r="O24" s="92">
        <v>335.2</v>
      </c>
      <c r="P24" s="92">
        <v>4624</v>
      </c>
      <c r="Q24" s="90"/>
      <c r="R24" s="72"/>
      <c r="S24" s="103"/>
    </row>
    <row r="25" spans="1:19" ht="12.75" customHeight="1">
      <c r="A25" s="192"/>
      <c r="B25" s="161" t="s">
        <v>44</v>
      </c>
      <c r="C25" s="93">
        <v>29174</v>
      </c>
      <c r="D25" s="93"/>
      <c r="E25" s="93"/>
      <c r="F25" s="93"/>
      <c r="G25" s="93">
        <v>10620</v>
      </c>
      <c r="H25" s="93">
        <v>3855</v>
      </c>
      <c r="I25" s="93">
        <v>4467</v>
      </c>
      <c r="J25" s="93">
        <v>2084.6999999999998</v>
      </c>
      <c r="K25" s="93">
        <v>1036.3</v>
      </c>
      <c r="L25" s="93">
        <v>1238</v>
      </c>
      <c r="M25" s="93">
        <v>816</v>
      </c>
      <c r="N25" s="93">
        <v>640.70000000000005</v>
      </c>
      <c r="O25" s="93">
        <v>269.3</v>
      </c>
      <c r="P25" s="93">
        <v>4147</v>
      </c>
      <c r="Q25" s="96"/>
      <c r="R25" s="72"/>
      <c r="S25" s="103"/>
    </row>
    <row r="26" spans="1:19" ht="12.75" customHeight="1">
      <c r="A26" s="193"/>
      <c r="B26" s="162" t="s">
        <v>45</v>
      </c>
      <c r="C26" s="95">
        <v>29418</v>
      </c>
      <c r="D26" s="95"/>
      <c r="E26" s="95"/>
      <c r="F26" s="93"/>
      <c r="G26" s="95">
        <v>10697.2</v>
      </c>
      <c r="H26" s="95">
        <v>3873.6</v>
      </c>
      <c r="I26" s="95">
        <v>4503.6000000000004</v>
      </c>
      <c r="J26" s="95">
        <v>2179.1</v>
      </c>
      <c r="K26" s="95">
        <v>1281.4000000000001</v>
      </c>
      <c r="L26" s="95">
        <v>1171.4000000000001</v>
      </c>
      <c r="M26" s="95">
        <v>717.6</v>
      </c>
      <c r="N26" s="95">
        <v>944.1</v>
      </c>
      <c r="O26" s="95">
        <v>149.9</v>
      </c>
      <c r="P26" s="95">
        <v>3898.5</v>
      </c>
      <c r="Q26" s="97"/>
      <c r="R26" s="72"/>
      <c r="S26" s="103"/>
    </row>
    <row r="27" spans="1:19" ht="12.75" customHeight="1">
      <c r="A27" s="191" t="s">
        <v>46</v>
      </c>
      <c r="B27" s="161" t="s">
        <v>47</v>
      </c>
      <c r="C27" s="93"/>
      <c r="D27" s="93">
        <v>28476</v>
      </c>
      <c r="E27" s="93"/>
      <c r="F27" s="93"/>
      <c r="G27" s="93">
        <f>10725+748</f>
        <v>11473</v>
      </c>
      <c r="H27" s="93">
        <v>4104</v>
      </c>
      <c r="I27" s="93">
        <v>4173</v>
      </c>
      <c r="J27" s="93">
        <v>1673</v>
      </c>
      <c r="K27" s="93">
        <f>1145</f>
        <v>1145</v>
      </c>
      <c r="L27" s="93">
        <v>1049</v>
      </c>
      <c r="M27" s="93">
        <v>733</v>
      </c>
      <c r="N27" s="93">
        <v>653</v>
      </c>
      <c r="O27" s="93">
        <v>583</v>
      </c>
      <c r="P27" s="93">
        <v>3788</v>
      </c>
      <c r="Q27" s="90">
        <v>-898</v>
      </c>
      <c r="R27" s="104"/>
      <c r="S27" s="103"/>
    </row>
    <row r="28" spans="1:19">
      <c r="A28" s="192"/>
      <c r="B28" s="161" t="s">
        <v>48</v>
      </c>
      <c r="C28" s="93"/>
      <c r="D28" s="93">
        <v>29214</v>
      </c>
      <c r="E28" s="93"/>
      <c r="F28" s="93"/>
      <c r="G28" s="93">
        <f>10851+872</f>
        <v>11723</v>
      </c>
      <c r="H28" s="93">
        <v>4367</v>
      </c>
      <c r="I28" s="93">
        <v>4338</v>
      </c>
      <c r="J28" s="93">
        <v>1300</v>
      </c>
      <c r="K28" s="93">
        <v>1176</v>
      </c>
      <c r="L28" s="93">
        <v>1013</v>
      </c>
      <c r="M28" s="93">
        <v>714</v>
      </c>
      <c r="N28" s="93">
        <v>622</v>
      </c>
      <c r="O28" s="93">
        <v>755</v>
      </c>
      <c r="P28" s="93">
        <v>3757</v>
      </c>
      <c r="Q28" s="90">
        <v>-551</v>
      </c>
      <c r="R28" s="104"/>
      <c r="S28" s="103"/>
    </row>
    <row r="29" spans="1:19">
      <c r="A29" s="192"/>
      <c r="B29" s="161" t="s">
        <v>49</v>
      </c>
      <c r="C29" s="93"/>
      <c r="D29" s="93">
        <v>30483</v>
      </c>
      <c r="E29" s="93"/>
      <c r="F29" s="93"/>
      <c r="G29" s="93">
        <f>11230+1009</f>
        <v>12239</v>
      </c>
      <c r="H29" s="93">
        <v>4672</v>
      </c>
      <c r="I29" s="93">
        <v>4463</v>
      </c>
      <c r="J29" s="93">
        <v>1508</v>
      </c>
      <c r="K29" s="93">
        <v>1222</v>
      </c>
      <c r="L29" s="93">
        <v>970</v>
      </c>
      <c r="M29" s="93">
        <v>737</v>
      </c>
      <c r="N29" s="93">
        <v>950</v>
      </c>
      <c r="O29" s="95">
        <v>622</v>
      </c>
      <c r="P29" s="93">
        <v>3703</v>
      </c>
      <c r="Q29" s="90">
        <v>-603</v>
      </c>
      <c r="R29" s="104"/>
      <c r="S29" s="103"/>
    </row>
    <row r="30" spans="1:19" ht="12.75" customHeight="1">
      <c r="A30" s="186" t="s">
        <v>50</v>
      </c>
      <c r="B30" s="11">
        <v>1997</v>
      </c>
      <c r="C30" s="100"/>
      <c r="D30" s="100">
        <v>31367.962406015038</v>
      </c>
      <c r="E30" s="106">
        <v>37599.962406015038</v>
      </c>
      <c r="F30" s="93"/>
      <c r="G30" s="100">
        <v>12180.962406015038</v>
      </c>
      <c r="H30" s="100">
        <v>5029</v>
      </c>
      <c r="I30" s="100">
        <v>4817</v>
      </c>
      <c r="J30" s="100">
        <v>1956</v>
      </c>
      <c r="K30" s="100">
        <v>1266</v>
      </c>
      <c r="L30" s="100">
        <v>946</v>
      </c>
      <c r="M30" s="100">
        <v>797</v>
      </c>
      <c r="N30" s="100">
        <v>711</v>
      </c>
      <c r="O30" s="103">
        <v>720</v>
      </c>
      <c r="P30" s="100">
        <v>2945</v>
      </c>
      <c r="Q30" s="102"/>
      <c r="R30" s="104"/>
    </row>
    <row r="31" spans="1:19">
      <c r="A31" s="188"/>
      <c r="B31" s="13">
        <v>1998</v>
      </c>
      <c r="C31" s="93"/>
      <c r="D31" s="93">
        <v>32981.947368421053</v>
      </c>
      <c r="E31" s="107">
        <v>38766.947368421053</v>
      </c>
      <c r="F31" s="93"/>
      <c r="G31" s="93">
        <v>13024.947368421053</v>
      </c>
      <c r="H31" s="93">
        <v>5361</v>
      </c>
      <c r="I31" s="93">
        <v>5162</v>
      </c>
      <c r="J31" s="93">
        <v>1858</v>
      </c>
      <c r="K31" s="93">
        <v>1329</v>
      </c>
      <c r="L31" s="93">
        <v>1065</v>
      </c>
      <c r="M31" s="93">
        <v>850</v>
      </c>
      <c r="N31" s="93">
        <v>769</v>
      </c>
      <c r="O31" s="103">
        <v>890</v>
      </c>
      <c r="P31" s="93">
        <v>2673</v>
      </c>
      <c r="Q31" s="96"/>
      <c r="R31" s="104"/>
    </row>
    <row r="32" spans="1:19">
      <c r="A32" s="188"/>
      <c r="B32" s="13">
        <v>1999</v>
      </c>
      <c r="C32" s="93"/>
      <c r="D32" s="93">
        <v>33938.571428571428</v>
      </c>
      <c r="E32" s="107">
        <v>39837.571428571428</v>
      </c>
      <c r="F32" s="93"/>
      <c r="G32" s="93">
        <v>13435.571428571429</v>
      </c>
      <c r="H32" s="93">
        <v>5875</v>
      </c>
      <c r="I32" s="93">
        <v>5337</v>
      </c>
      <c r="J32" s="93">
        <v>1984</v>
      </c>
      <c r="K32" s="93">
        <v>1482</v>
      </c>
      <c r="L32" s="93">
        <v>1022</v>
      </c>
      <c r="M32" s="93">
        <v>923</v>
      </c>
      <c r="N32" s="93">
        <v>813</v>
      </c>
      <c r="O32" s="103">
        <v>700</v>
      </c>
      <c r="P32" s="93">
        <v>2367</v>
      </c>
      <c r="Q32" s="96"/>
      <c r="R32" s="104"/>
    </row>
    <row r="33" spans="1:18">
      <c r="A33" s="188"/>
      <c r="B33" s="13">
        <v>2000</v>
      </c>
      <c r="C33" s="93"/>
      <c r="D33" s="93">
        <v>34828.526315789473</v>
      </c>
      <c r="E33" s="107">
        <v>41017.946315789472</v>
      </c>
      <c r="F33" s="93"/>
      <c r="G33" s="93">
        <v>13499.526315789473</v>
      </c>
      <c r="H33" s="93">
        <v>6146</v>
      </c>
      <c r="I33" s="93">
        <v>5712</v>
      </c>
      <c r="J33" s="93">
        <v>1992</v>
      </c>
      <c r="K33" s="93">
        <v>1509</v>
      </c>
      <c r="L33" s="93">
        <v>1163</v>
      </c>
      <c r="M33" s="93">
        <v>929</v>
      </c>
      <c r="N33" s="93">
        <v>881</v>
      </c>
      <c r="O33" s="103">
        <v>792</v>
      </c>
      <c r="P33" s="93">
        <v>2205</v>
      </c>
      <c r="Q33" s="96"/>
      <c r="R33" s="104"/>
    </row>
    <row r="34" spans="1:18">
      <c r="A34" s="188"/>
      <c r="B34" s="13" t="s">
        <v>51</v>
      </c>
      <c r="C34" s="93"/>
      <c r="D34" s="93">
        <v>36558.54887218045</v>
      </c>
      <c r="E34" s="107">
        <v>43518.018872180503</v>
      </c>
      <c r="F34" s="93"/>
      <c r="G34" s="93">
        <v>13781.54887218045</v>
      </c>
      <c r="H34" s="93">
        <v>6660</v>
      </c>
      <c r="I34" s="93">
        <v>6136</v>
      </c>
      <c r="J34" s="93">
        <v>2148</v>
      </c>
      <c r="K34" s="93">
        <v>1541</v>
      </c>
      <c r="L34" s="93">
        <v>1242</v>
      </c>
      <c r="M34" s="93">
        <v>905</v>
      </c>
      <c r="N34" s="93">
        <v>1037</v>
      </c>
      <c r="O34" s="103">
        <v>804</v>
      </c>
      <c r="P34" s="93">
        <v>2304</v>
      </c>
      <c r="Q34" s="96"/>
      <c r="R34" s="104"/>
    </row>
    <row r="35" spans="1:18">
      <c r="A35" s="188"/>
      <c r="B35" s="13" t="s">
        <v>52</v>
      </c>
      <c r="C35" s="93"/>
      <c r="D35" s="93">
        <v>37512.701744360907</v>
      </c>
      <c r="E35" s="107">
        <v>47202.445504360898</v>
      </c>
      <c r="F35" s="93"/>
      <c r="G35" s="93">
        <v>14161.405744360902</v>
      </c>
      <c r="H35" s="93">
        <v>7032</v>
      </c>
      <c r="I35" s="93">
        <v>6473</v>
      </c>
      <c r="J35" s="93">
        <v>1890</v>
      </c>
      <c r="K35" s="93">
        <v>1733</v>
      </c>
      <c r="L35" s="93">
        <v>1162</v>
      </c>
      <c r="M35" s="93">
        <v>989</v>
      </c>
      <c r="N35" s="93">
        <v>1013</v>
      </c>
      <c r="O35" s="103">
        <v>941.2960000000021</v>
      </c>
      <c r="P35" s="93">
        <v>2118</v>
      </c>
      <c r="Q35" s="96"/>
      <c r="R35" s="104"/>
    </row>
    <row r="36" spans="1:18">
      <c r="A36" s="188"/>
      <c r="B36" s="13" t="s">
        <v>53</v>
      </c>
      <c r="C36" s="93"/>
      <c r="D36" s="93">
        <v>39897.48270676691</v>
      </c>
      <c r="E36" s="107">
        <v>51948.6117167669</v>
      </c>
      <c r="F36" s="93"/>
      <c r="G36" s="93">
        <v>14448.869706766916</v>
      </c>
      <c r="H36" s="93">
        <v>7501</v>
      </c>
      <c r="I36" s="93">
        <v>7016</v>
      </c>
      <c r="J36" s="93">
        <v>2130</v>
      </c>
      <c r="K36" s="93">
        <v>1734</v>
      </c>
      <c r="L36" s="93">
        <v>1199</v>
      </c>
      <c r="M36" s="93">
        <v>1408</v>
      </c>
      <c r="N36" s="93">
        <v>1054</v>
      </c>
      <c r="O36" s="103">
        <v>1046.6129999999976</v>
      </c>
      <c r="P36" s="93">
        <v>2360</v>
      </c>
      <c r="Q36" s="96"/>
      <c r="R36" s="104"/>
    </row>
    <row r="37" spans="1:18">
      <c r="A37" s="188"/>
      <c r="B37" s="13" t="s">
        <v>54</v>
      </c>
      <c r="C37" s="93"/>
      <c r="D37" s="93">
        <v>41882.173706766916</v>
      </c>
      <c r="E37" s="107">
        <v>53210.765056766897</v>
      </c>
      <c r="F37" s="93"/>
      <c r="G37" s="93">
        <v>14843.555706766918</v>
      </c>
      <c r="H37" s="93">
        <v>8111</v>
      </c>
      <c r="I37" s="93">
        <v>7585</v>
      </c>
      <c r="J37" s="93">
        <v>2091</v>
      </c>
      <c r="K37" s="93">
        <v>1843</v>
      </c>
      <c r="L37" s="93">
        <v>1311</v>
      </c>
      <c r="M37" s="93">
        <v>1461</v>
      </c>
      <c r="N37" s="93">
        <v>1192</v>
      </c>
      <c r="O37" s="103">
        <v>1192.6180000000022</v>
      </c>
      <c r="P37" s="93">
        <v>2252</v>
      </c>
      <c r="Q37" s="96"/>
      <c r="R37" s="104"/>
    </row>
    <row r="38" spans="1:18">
      <c r="A38" s="186" t="s">
        <v>55</v>
      </c>
      <c r="B38" s="11" t="s">
        <v>56</v>
      </c>
      <c r="C38" s="100"/>
      <c r="D38" s="100">
        <v>44660</v>
      </c>
      <c r="E38" s="106">
        <v>57687</v>
      </c>
      <c r="F38" s="100"/>
      <c r="G38" s="100">
        <v>15253</v>
      </c>
      <c r="H38" s="100">
        <v>8813</v>
      </c>
      <c r="I38" s="100">
        <v>7930</v>
      </c>
      <c r="J38" s="100">
        <v>2567</v>
      </c>
      <c r="K38" s="100">
        <v>1889</v>
      </c>
      <c r="L38" s="100">
        <v>1275</v>
      </c>
      <c r="M38" s="100">
        <v>1635</v>
      </c>
      <c r="N38" s="100">
        <v>1444</v>
      </c>
      <c r="O38" s="109">
        <v>1580</v>
      </c>
      <c r="P38" s="100">
        <v>2274</v>
      </c>
      <c r="Q38" s="102"/>
      <c r="R38" s="103"/>
    </row>
    <row r="39" spans="1:18">
      <c r="A39" s="187"/>
      <c r="B39" s="13" t="s">
        <v>57</v>
      </c>
      <c r="C39" s="93"/>
      <c r="D39" s="93">
        <v>49084</v>
      </c>
      <c r="E39" s="107">
        <v>63703</v>
      </c>
      <c r="F39" s="93"/>
      <c r="G39" s="93">
        <v>16212</v>
      </c>
      <c r="H39" s="93">
        <v>9547</v>
      </c>
      <c r="I39" s="93">
        <v>9914</v>
      </c>
      <c r="J39" s="93">
        <v>2507</v>
      </c>
      <c r="K39" s="93">
        <v>2146</v>
      </c>
      <c r="L39" s="93">
        <v>1383</v>
      </c>
      <c r="M39" s="93">
        <v>1818</v>
      </c>
      <c r="N39" s="93">
        <v>1592</v>
      </c>
      <c r="O39" s="103">
        <v>1609</v>
      </c>
      <c r="P39" s="93">
        <v>2356</v>
      </c>
      <c r="Q39" s="96"/>
      <c r="R39" s="103"/>
    </row>
    <row r="40" spans="1:18">
      <c r="A40" s="187"/>
      <c r="B40" s="13" t="s">
        <v>58</v>
      </c>
      <c r="C40" s="93"/>
      <c r="D40" s="93">
        <v>53764</v>
      </c>
      <c r="E40" s="107">
        <v>68055</v>
      </c>
      <c r="F40" s="93"/>
      <c r="G40" s="93">
        <v>17266</v>
      </c>
      <c r="H40" s="93">
        <v>10355</v>
      </c>
      <c r="I40" s="93">
        <v>9269</v>
      </c>
      <c r="J40" s="93">
        <v>4817</v>
      </c>
      <c r="K40" s="93">
        <v>2606</v>
      </c>
      <c r="L40" s="93">
        <v>1517</v>
      </c>
      <c r="M40" s="93">
        <v>2405</v>
      </c>
      <c r="N40" s="93">
        <v>1595</v>
      </c>
      <c r="O40" s="103">
        <v>1605</v>
      </c>
      <c r="P40" s="93">
        <v>2329</v>
      </c>
      <c r="Q40" s="96"/>
      <c r="R40" s="103"/>
    </row>
    <row r="41" spans="1:18">
      <c r="A41" s="187"/>
      <c r="B41" s="13" t="s">
        <v>59</v>
      </c>
      <c r="C41" s="93"/>
      <c r="D41" s="93">
        <v>56753</v>
      </c>
      <c r="E41" s="107">
        <v>75096</v>
      </c>
      <c r="F41" s="93"/>
      <c r="G41" s="93">
        <v>18420</v>
      </c>
      <c r="H41" s="93">
        <v>11297</v>
      </c>
      <c r="I41" s="93">
        <v>9551</v>
      </c>
      <c r="J41" s="93">
        <v>3371</v>
      </c>
      <c r="K41" s="93">
        <v>2797</v>
      </c>
      <c r="L41" s="93">
        <v>1562</v>
      </c>
      <c r="M41" s="93">
        <v>2244</v>
      </c>
      <c r="N41" s="93">
        <v>2889</v>
      </c>
      <c r="O41" s="103">
        <v>2162</v>
      </c>
      <c r="P41" s="93">
        <v>2460</v>
      </c>
      <c r="Q41" s="96"/>
      <c r="R41" s="103"/>
    </row>
    <row r="42" spans="1:18">
      <c r="A42" s="187"/>
      <c r="B42" s="13" t="s">
        <v>60</v>
      </c>
      <c r="C42" s="93"/>
      <c r="D42" s="93">
        <v>63711</v>
      </c>
      <c r="E42" s="107">
        <v>82592</v>
      </c>
      <c r="F42" s="93"/>
      <c r="G42" s="93">
        <v>19844</v>
      </c>
      <c r="H42" s="93">
        <v>12368</v>
      </c>
      <c r="I42" s="93">
        <v>11455</v>
      </c>
      <c r="J42" s="93">
        <v>5293</v>
      </c>
      <c r="K42" s="93">
        <v>2992</v>
      </c>
      <c r="L42" s="93">
        <v>1757</v>
      </c>
      <c r="M42" s="93">
        <v>2663</v>
      </c>
      <c r="N42" s="93">
        <v>2960</v>
      </c>
      <c r="O42" s="103">
        <v>1950</v>
      </c>
      <c r="P42" s="93">
        <v>2429</v>
      </c>
      <c r="Q42" s="96"/>
      <c r="R42" s="103"/>
    </row>
    <row r="43" spans="1:18">
      <c r="A43" s="187"/>
      <c r="B43" s="13" t="s">
        <v>61</v>
      </c>
      <c r="C43" s="93"/>
      <c r="D43" s="93">
        <v>63554</v>
      </c>
      <c r="E43" s="107">
        <v>80048</v>
      </c>
      <c r="F43" s="93"/>
      <c r="G43" s="93">
        <v>21142</v>
      </c>
      <c r="H43" s="93">
        <v>13128</v>
      </c>
      <c r="I43" s="93">
        <v>11724</v>
      </c>
      <c r="J43" s="93">
        <v>2974</v>
      </c>
      <c r="K43" s="93">
        <v>3103</v>
      </c>
      <c r="L43" s="93">
        <v>1814</v>
      </c>
      <c r="M43" s="93">
        <v>2345</v>
      </c>
      <c r="N43" s="93">
        <v>2806</v>
      </c>
      <c r="O43" s="103">
        <v>2207</v>
      </c>
      <c r="P43" s="93">
        <v>2311</v>
      </c>
      <c r="Q43" s="96"/>
      <c r="R43" s="103"/>
    </row>
    <row r="44" spans="1:18">
      <c r="A44" s="187"/>
      <c r="B44" s="13" t="s">
        <v>62</v>
      </c>
      <c r="C44" s="93"/>
      <c r="D44" s="93">
        <v>70099</v>
      </c>
      <c r="E44" s="107">
        <v>99043</v>
      </c>
      <c r="F44" s="93"/>
      <c r="G44" s="93">
        <v>22029</v>
      </c>
      <c r="H44" s="93">
        <v>13753</v>
      </c>
      <c r="I44" s="93">
        <v>11650</v>
      </c>
      <c r="J44" s="93">
        <v>5563</v>
      </c>
      <c r="K44" s="93">
        <v>3312</v>
      </c>
      <c r="L44" s="93">
        <v>1809</v>
      </c>
      <c r="M44" s="93">
        <v>2281</v>
      </c>
      <c r="N44" s="93">
        <v>2542</v>
      </c>
      <c r="O44" s="103">
        <v>4094</v>
      </c>
      <c r="P44" s="93">
        <v>3066</v>
      </c>
      <c r="Q44" s="96"/>
      <c r="R44" s="103"/>
    </row>
    <row r="45" spans="1:18">
      <c r="A45" s="187"/>
      <c r="B45" s="13" t="s">
        <v>63</v>
      </c>
      <c r="C45" s="93"/>
      <c r="D45" s="93">
        <v>68939</v>
      </c>
      <c r="E45" s="107">
        <v>91989</v>
      </c>
      <c r="F45" s="93"/>
      <c r="G45" s="93">
        <v>22148</v>
      </c>
      <c r="H45" s="93">
        <v>14160</v>
      </c>
      <c r="I45" s="93">
        <v>11654</v>
      </c>
      <c r="J45" s="93">
        <v>5428</v>
      </c>
      <c r="K45" s="93">
        <v>3338</v>
      </c>
      <c r="L45" s="93">
        <v>1736</v>
      </c>
      <c r="M45" s="93">
        <v>2232</v>
      </c>
      <c r="N45" s="93">
        <v>2073</v>
      </c>
      <c r="O45" s="103">
        <v>2659</v>
      </c>
      <c r="P45" s="93">
        <v>3511</v>
      </c>
      <c r="Q45" s="96"/>
      <c r="R45" s="103"/>
    </row>
    <row r="46" spans="1:18">
      <c r="A46" s="187"/>
      <c r="B46" s="13" t="s">
        <v>64</v>
      </c>
      <c r="C46" s="93"/>
      <c r="D46" s="93">
        <v>69962</v>
      </c>
      <c r="E46" s="107">
        <v>90030</v>
      </c>
      <c r="F46" s="93"/>
      <c r="G46" s="93">
        <v>22737</v>
      </c>
      <c r="H46" s="93">
        <v>14498</v>
      </c>
      <c r="I46" s="93">
        <v>12504</v>
      </c>
      <c r="J46" s="93">
        <v>4294</v>
      </c>
      <c r="K46" s="93">
        <v>3394</v>
      </c>
      <c r="L46" s="93">
        <v>1804</v>
      </c>
      <c r="M46" s="93">
        <v>2255</v>
      </c>
      <c r="N46" s="93">
        <v>1978</v>
      </c>
      <c r="O46" s="103">
        <v>2879</v>
      </c>
      <c r="P46" s="93">
        <v>3619</v>
      </c>
      <c r="Q46" s="96"/>
      <c r="R46" s="103"/>
    </row>
    <row r="47" spans="1:18">
      <c r="A47" s="187"/>
      <c r="B47" s="13" t="s">
        <v>65</v>
      </c>
      <c r="C47" s="93"/>
      <c r="D47" s="93">
        <v>71174</v>
      </c>
      <c r="E47" s="107">
        <v>91179</v>
      </c>
      <c r="F47" s="93"/>
      <c r="G47" s="93">
        <v>23308</v>
      </c>
      <c r="H47" s="93">
        <v>14898</v>
      </c>
      <c r="I47" s="93">
        <v>12300</v>
      </c>
      <c r="J47" s="93">
        <v>4502</v>
      </c>
      <c r="K47" s="93">
        <v>3463</v>
      </c>
      <c r="L47" s="93">
        <v>1811</v>
      </c>
      <c r="M47" s="93">
        <v>2237</v>
      </c>
      <c r="N47" s="93">
        <v>2058</v>
      </c>
      <c r="O47" s="103">
        <v>2977</v>
      </c>
      <c r="P47" s="93">
        <v>3620</v>
      </c>
      <c r="Q47" s="96"/>
      <c r="R47" s="103"/>
    </row>
    <row r="48" spans="1:18">
      <c r="A48" s="187"/>
      <c r="B48" s="13" t="s">
        <v>66</v>
      </c>
      <c r="C48" s="93"/>
      <c r="D48" s="93">
        <v>72363</v>
      </c>
      <c r="E48" s="107">
        <v>93064</v>
      </c>
      <c r="F48" s="93"/>
      <c r="G48" s="93">
        <v>23881</v>
      </c>
      <c r="H48" s="93">
        <v>15058</v>
      </c>
      <c r="I48" s="93">
        <v>12879</v>
      </c>
      <c r="J48" s="93">
        <v>4134</v>
      </c>
      <c r="K48" s="93">
        <v>3515</v>
      </c>
      <c r="L48" s="93">
        <v>1961</v>
      </c>
      <c r="M48" s="93">
        <v>2291</v>
      </c>
      <c r="N48" s="93">
        <v>2228</v>
      </c>
      <c r="O48" s="103">
        <v>2633</v>
      </c>
      <c r="P48" s="93">
        <v>3783</v>
      </c>
      <c r="Q48" s="96"/>
      <c r="R48" s="103"/>
    </row>
    <row r="49" spans="1:19">
      <c r="A49" s="187"/>
      <c r="B49" s="13" t="s">
        <v>67</v>
      </c>
      <c r="C49" s="93"/>
      <c r="D49" s="93">
        <v>73929</v>
      </c>
      <c r="E49" s="107">
        <v>95137</v>
      </c>
      <c r="F49" s="93"/>
      <c r="G49" s="93">
        <v>24352</v>
      </c>
      <c r="H49" s="93">
        <v>15626</v>
      </c>
      <c r="I49" s="93">
        <v>13158</v>
      </c>
      <c r="J49" s="93">
        <v>4102</v>
      </c>
      <c r="K49" s="93">
        <v>3648</v>
      </c>
      <c r="L49" s="93">
        <v>2026</v>
      </c>
      <c r="M49" s="93">
        <v>2178</v>
      </c>
      <c r="N49" s="93">
        <v>2107</v>
      </c>
      <c r="O49" s="103">
        <v>3142</v>
      </c>
      <c r="P49" s="93">
        <v>3590</v>
      </c>
      <c r="Q49" s="96"/>
      <c r="R49" s="103"/>
    </row>
    <row r="50" spans="1:19">
      <c r="A50" s="187"/>
      <c r="B50" s="13" t="s">
        <v>68</v>
      </c>
      <c r="C50" s="93"/>
      <c r="D50" s="93">
        <v>76339</v>
      </c>
      <c r="E50" s="107">
        <v>99007</v>
      </c>
      <c r="F50" s="93"/>
      <c r="G50" s="93">
        <v>25511</v>
      </c>
      <c r="H50" s="93">
        <v>16223</v>
      </c>
      <c r="I50" s="93">
        <v>13281</v>
      </c>
      <c r="J50" s="93">
        <v>3957</v>
      </c>
      <c r="K50" s="93">
        <v>3882</v>
      </c>
      <c r="L50" s="93">
        <v>2146</v>
      </c>
      <c r="M50" s="93">
        <v>2176</v>
      </c>
      <c r="N50" s="93">
        <v>2544</v>
      </c>
      <c r="O50" s="103">
        <v>3085</v>
      </c>
      <c r="P50" s="93">
        <v>3534</v>
      </c>
      <c r="Q50" s="96"/>
      <c r="R50" s="103"/>
    </row>
    <row r="51" spans="1:19">
      <c r="A51" s="187"/>
      <c r="B51" s="13" t="s">
        <v>69</v>
      </c>
      <c r="C51" s="93"/>
      <c r="D51" s="93">
        <v>80576</v>
      </c>
      <c r="E51" s="107">
        <v>104014</v>
      </c>
      <c r="F51" s="93"/>
      <c r="G51" s="93">
        <v>26149</v>
      </c>
      <c r="H51" s="93">
        <v>17159</v>
      </c>
      <c r="I51" s="93">
        <v>13629</v>
      </c>
      <c r="J51" s="93">
        <v>4670</v>
      </c>
      <c r="K51" s="93">
        <v>4184</v>
      </c>
      <c r="L51" s="93">
        <v>2251</v>
      </c>
      <c r="M51" s="93">
        <v>2559</v>
      </c>
      <c r="N51" s="93">
        <v>2732</v>
      </c>
      <c r="O51" s="103">
        <v>3746</v>
      </c>
      <c r="P51" s="93">
        <v>3497</v>
      </c>
      <c r="Q51" s="96"/>
      <c r="R51" s="103"/>
    </row>
    <row r="52" spans="1:19" ht="14.25">
      <c r="A52" s="187"/>
      <c r="B52" s="85" t="s">
        <v>70</v>
      </c>
      <c r="C52" s="93"/>
      <c r="D52" s="93">
        <v>86959</v>
      </c>
      <c r="E52" s="107">
        <v>111376</v>
      </c>
      <c r="F52" s="93"/>
      <c r="G52" s="93">
        <v>28806</v>
      </c>
      <c r="H52" s="93">
        <v>18268</v>
      </c>
      <c r="I52" s="93">
        <v>14293</v>
      </c>
      <c r="J52" s="93">
        <v>5166</v>
      </c>
      <c r="K52" s="93">
        <v>4625</v>
      </c>
      <c r="L52" s="93">
        <v>2395</v>
      </c>
      <c r="M52" s="93">
        <v>2889</v>
      </c>
      <c r="N52" s="93">
        <v>3006</v>
      </c>
      <c r="O52" s="103">
        <v>3820</v>
      </c>
      <c r="P52" s="93">
        <v>3691</v>
      </c>
      <c r="Q52" s="96"/>
      <c r="R52" s="103"/>
    </row>
    <row r="53" spans="1:19">
      <c r="A53" s="187"/>
      <c r="B53" s="85" t="s">
        <v>71</v>
      </c>
      <c r="C53" s="93"/>
      <c r="D53" s="93">
        <v>108832</v>
      </c>
      <c r="E53" s="107">
        <v>138916</v>
      </c>
      <c r="F53" s="93"/>
      <c r="G53" s="93">
        <v>44028</v>
      </c>
      <c r="H53" s="93">
        <v>19891</v>
      </c>
      <c r="I53" s="93">
        <v>16322</v>
      </c>
      <c r="J53" s="93">
        <v>6083</v>
      </c>
      <c r="K53" s="93">
        <v>4911</v>
      </c>
      <c r="L53" s="93">
        <v>2499</v>
      </c>
      <c r="M53" s="93">
        <v>3179</v>
      </c>
      <c r="N53" s="93">
        <v>3988</v>
      </c>
      <c r="O53" s="103">
        <f>D53-SUM(G53:N53,P53)</f>
        <v>4703</v>
      </c>
      <c r="P53" s="93">
        <v>3228</v>
      </c>
      <c r="Q53" s="96"/>
      <c r="R53" s="103"/>
    </row>
    <row r="54" spans="1:19">
      <c r="A54" s="187"/>
      <c r="B54" s="85">
        <v>2021</v>
      </c>
      <c r="C54" s="93"/>
      <c r="D54" s="93">
        <v>107764</v>
      </c>
      <c r="E54" s="107">
        <v>133722</v>
      </c>
      <c r="F54" s="93"/>
      <c r="G54" s="93">
        <v>36759</v>
      </c>
      <c r="H54" s="93">
        <v>22784</v>
      </c>
      <c r="I54" s="93">
        <v>16039</v>
      </c>
      <c r="J54" s="93">
        <v>5754</v>
      </c>
      <c r="K54" s="93">
        <v>5202</v>
      </c>
      <c r="L54" s="93">
        <v>2664</v>
      </c>
      <c r="M54" s="93">
        <v>5656</v>
      </c>
      <c r="N54" s="93">
        <v>4481</v>
      </c>
      <c r="O54" s="103">
        <v>6507</v>
      </c>
      <c r="P54" s="93">
        <v>1918</v>
      </c>
      <c r="Q54" s="96"/>
      <c r="R54" s="103"/>
    </row>
    <row r="55" spans="1:19">
      <c r="A55" s="187"/>
      <c r="B55" s="85">
        <v>2022</v>
      </c>
      <c r="C55" s="93"/>
      <c r="D55" s="93">
        <v>125641</v>
      </c>
      <c r="E55" s="107">
        <v>150956</v>
      </c>
      <c r="F55" s="93"/>
      <c r="G55" s="93">
        <v>42954</v>
      </c>
      <c r="H55" s="93">
        <v>27781</v>
      </c>
      <c r="I55" s="93">
        <v>18023</v>
      </c>
      <c r="J55" s="93">
        <v>5720</v>
      </c>
      <c r="K55" s="93">
        <v>5444</v>
      </c>
      <c r="L55" s="93">
        <v>2832</v>
      </c>
      <c r="M55" s="93">
        <v>4657</v>
      </c>
      <c r="N55" s="93">
        <v>8078</v>
      </c>
      <c r="O55" s="103">
        <v>7268</v>
      </c>
      <c r="P55" s="93">
        <v>2884</v>
      </c>
      <c r="Q55" s="96"/>
      <c r="R55" s="103"/>
    </row>
    <row r="56" spans="1:19">
      <c r="A56" s="187"/>
      <c r="B56" s="85">
        <v>2023</v>
      </c>
      <c r="C56" s="93"/>
      <c r="D56" s="93">
        <v>127574</v>
      </c>
      <c r="E56" s="107">
        <v>161822</v>
      </c>
      <c r="F56" s="93"/>
      <c r="G56" s="93">
        <f>41514+61</f>
        <v>41575</v>
      </c>
      <c r="H56" s="93">
        <v>28489</v>
      </c>
      <c r="I56" s="93">
        <v>18403</v>
      </c>
      <c r="J56" s="93">
        <v>6806</v>
      </c>
      <c r="K56" s="93">
        <v>6165</v>
      </c>
      <c r="L56" s="93">
        <v>2886</v>
      </c>
      <c r="M56" s="93">
        <v>5472</v>
      </c>
      <c r="N56" s="93">
        <v>3690</v>
      </c>
      <c r="O56" s="103">
        <v>7519</v>
      </c>
      <c r="P56" s="93">
        <v>6569</v>
      </c>
      <c r="Q56" s="96"/>
      <c r="R56" s="103"/>
      <c r="S56" s="103"/>
    </row>
    <row r="57" spans="1:19">
      <c r="A57" s="187"/>
      <c r="B57" s="85">
        <v>2024</v>
      </c>
      <c r="C57" s="93"/>
      <c r="D57" s="93">
        <v>138998</v>
      </c>
      <c r="E57" s="107">
        <v>180061</v>
      </c>
      <c r="F57" s="93"/>
      <c r="G57" s="93">
        <v>44658</v>
      </c>
      <c r="H57" s="93">
        <v>29999</v>
      </c>
      <c r="I57" s="93">
        <v>20223</v>
      </c>
      <c r="J57" s="93">
        <v>8468</v>
      </c>
      <c r="K57" s="93">
        <v>6527</v>
      </c>
      <c r="L57" s="93">
        <v>3163</v>
      </c>
      <c r="M57" s="93">
        <v>5487</v>
      </c>
      <c r="N57" s="93">
        <v>4010</v>
      </c>
      <c r="O57" s="103">
        <v>7520</v>
      </c>
      <c r="P57" s="93">
        <v>8943</v>
      </c>
      <c r="Q57" s="96"/>
      <c r="R57" s="103"/>
      <c r="S57" s="103"/>
    </row>
    <row r="58" spans="1:19">
      <c r="A58" s="187"/>
      <c r="B58" s="121">
        <v>2025</v>
      </c>
      <c r="C58" s="95"/>
      <c r="D58" s="95">
        <v>141675</v>
      </c>
      <c r="E58" s="158">
        <v>183502</v>
      </c>
      <c r="F58" s="95"/>
      <c r="G58" s="95">
        <v>47568</v>
      </c>
      <c r="H58" s="95">
        <v>30311</v>
      </c>
      <c r="I58" s="95">
        <v>20895</v>
      </c>
      <c r="J58" s="95">
        <v>7908</v>
      </c>
      <c r="K58" s="95">
        <v>6734</v>
      </c>
      <c r="L58" s="95">
        <v>3271</v>
      </c>
      <c r="M58" s="95">
        <v>5472</v>
      </c>
      <c r="N58" s="95">
        <v>3514</v>
      </c>
      <c r="O58" s="151">
        <v>7140</v>
      </c>
      <c r="P58" s="95">
        <v>8862</v>
      </c>
      <c r="Q58" s="97"/>
      <c r="R58" s="150"/>
      <c r="S58" s="103"/>
    </row>
    <row r="59" spans="1:19">
      <c r="O59" s="134"/>
      <c r="R59" s="103"/>
    </row>
    <row r="60" spans="1:19">
      <c r="A60" s="105" t="s">
        <v>72</v>
      </c>
      <c r="B60" s="2"/>
      <c r="O60" s="82"/>
      <c r="R60" s="103"/>
    </row>
    <row r="61" spans="1:19">
      <c r="A61" s="77" t="s">
        <v>73</v>
      </c>
      <c r="B61" s="2"/>
      <c r="H61" s="2"/>
      <c r="O61" s="103"/>
    </row>
    <row r="62" spans="1:19">
      <c r="A62" s="77" t="s">
        <v>74</v>
      </c>
      <c r="B62" s="35" t="s">
        <v>75</v>
      </c>
      <c r="J62" s="103"/>
      <c r="O62" s="10"/>
      <c r="P62" s="10"/>
    </row>
    <row r="63" spans="1:19" ht="14.25">
      <c r="A63" s="105" t="s">
        <v>76</v>
      </c>
      <c r="B63" s="2"/>
      <c r="O63" s="10"/>
      <c r="P63" s="10"/>
      <c r="Q63" s="82"/>
    </row>
    <row r="64" spans="1:19">
      <c r="A64" s="110" t="s">
        <v>77</v>
      </c>
      <c r="B64" s="2"/>
      <c r="O64" s="10"/>
      <c r="P64" s="10"/>
      <c r="Q64" s="82"/>
    </row>
    <row r="65" spans="1:18" ht="14.25">
      <c r="A65" s="77" t="s">
        <v>78</v>
      </c>
      <c r="B65" s="2"/>
      <c r="O65" s="10"/>
      <c r="P65" s="10"/>
    </row>
    <row r="66" spans="1:18">
      <c r="B66" s="2"/>
      <c r="O66" s="10"/>
      <c r="P66" s="10"/>
    </row>
    <row r="67" spans="1:18">
      <c r="B67" s="2"/>
      <c r="O67" s="10"/>
    </row>
    <row r="68" spans="1:18">
      <c r="B68" s="2"/>
      <c r="O68" s="10"/>
    </row>
    <row r="69" spans="1:18" ht="16.5" customHeight="1">
      <c r="A69" s="57" t="s">
        <v>79</v>
      </c>
      <c r="B69" s="8"/>
      <c r="C69" s="194" t="s">
        <v>29</v>
      </c>
      <c r="D69" s="194"/>
      <c r="E69" s="194"/>
      <c r="F69" s="19"/>
      <c r="G69" s="189" t="s">
        <v>31</v>
      </c>
      <c r="H69" s="189"/>
      <c r="I69" s="189"/>
      <c r="J69" s="189"/>
      <c r="K69" s="189"/>
      <c r="L69" s="189"/>
      <c r="M69" s="189"/>
      <c r="N69" s="189"/>
      <c r="O69" s="189"/>
      <c r="P69" s="189"/>
      <c r="Q69" s="189"/>
      <c r="R69" s="72"/>
    </row>
    <row r="70" spans="1:18" ht="51">
      <c r="A70" s="58"/>
      <c r="B70" s="5"/>
      <c r="C70" s="6" t="s">
        <v>32</v>
      </c>
      <c r="D70" s="6" t="s">
        <v>33</v>
      </c>
      <c r="E70" s="6" t="s">
        <v>34</v>
      </c>
      <c r="F70" s="32"/>
      <c r="G70" s="6" t="s">
        <v>12</v>
      </c>
      <c r="H70" s="6" t="s">
        <v>13</v>
      </c>
      <c r="I70" s="6" t="s">
        <v>14</v>
      </c>
      <c r="J70" s="6" t="s">
        <v>80</v>
      </c>
      <c r="K70" s="6" t="s">
        <v>16</v>
      </c>
      <c r="L70" s="6" t="s">
        <v>17</v>
      </c>
      <c r="M70" s="6" t="s">
        <v>18</v>
      </c>
      <c r="N70" s="6" t="s">
        <v>81</v>
      </c>
      <c r="O70" s="6" t="s">
        <v>20</v>
      </c>
      <c r="P70" s="6" t="s">
        <v>22</v>
      </c>
      <c r="Q70" s="6" t="s">
        <v>36</v>
      </c>
      <c r="R70" s="72"/>
    </row>
    <row r="71" spans="1:18" ht="12.75" customHeight="1">
      <c r="A71" s="191" t="s">
        <v>37</v>
      </c>
      <c r="B71" s="11">
        <v>1972</v>
      </c>
      <c r="C71" s="27">
        <f>C5/'Nominal GDP'!$C5</f>
        <v>0.24074391988555077</v>
      </c>
      <c r="D71" s="27"/>
      <c r="E71" s="27"/>
      <c r="F71" s="33"/>
      <c r="G71" s="27">
        <f>G5/'Nominal GDP'!$C5</f>
        <v>5.6065808297567951E-2</v>
      </c>
      <c r="H71" s="27">
        <f>H5/'Nominal GDP'!$C5</f>
        <v>4.174535050071531E-2</v>
      </c>
      <c r="I71" s="27">
        <f>I5/'Nominal GDP'!$C5</f>
        <v>4.7925608011444923E-2</v>
      </c>
      <c r="J71" s="27">
        <f>J5/'Nominal GDP'!$C5</f>
        <v>1.6280400572246067E-2</v>
      </c>
      <c r="K71" s="27">
        <f>K5/'Nominal GDP'!$C5</f>
        <v>4.6065808297567961E-3</v>
      </c>
      <c r="L71" s="27">
        <f>L5/'Nominal GDP'!$C5</f>
        <v>1.6995708154506437E-2</v>
      </c>
      <c r="M71" s="27">
        <f>M5/'Nominal GDP'!$C5</f>
        <v>2.0658082975679542E-2</v>
      </c>
      <c r="N71" s="27">
        <f>N5/'Nominal GDP'!$C5</f>
        <v>6.1945636623748209E-3</v>
      </c>
      <c r="O71" s="27">
        <f>O5/'Nominal GDP'!$C5</f>
        <v>1.882689556509299E-2</v>
      </c>
      <c r="P71" s="27">
        <f>P5/'Nominal GDP'!$C5</f>
        <v>2.4034334763948499E-2</v>
      </c>
      <c r="Q71" s="27"/>
      <c r="R71" s="72"/>
    </row>
    <row r="72" spans="1:18">
      <c r="A72" s="192"/>
      <c r="B72" s="13">
        <v>1973</v>
      </c>
      <c r="C72" s="28">
        <f>C6/'Nominal GDP'!$C6</f>
        <v>0.24829207920792079</v>
      </c>
      <c r="D72" s="28"/>
      <c r="E72" s="28"/>
      <c r="F72" s="28"/>
      <c r="G72" s="28">
        <f>G6/'Nominal GDP'!$C6</f>
        <v>6.5259900990098998E-2</v>
      </c>
      <c r="H72" s="28">
        <f>H6/'Nominal GDP'!$C6</f>
        <v>4.2462871287128716E-2</v>
      </c>
      <c r="I72" s="28">
        <f>I6/'Nominal GDP'!$C6</f>
        <v>4.6633663366336633E-2</v>
      </c>
      <c r="J72" s="28">
        <f>J6/'Nominal GDP'!$C6</f>
        <v>1.6497524752475248E-2</v>
      </c>
      <c r="K72" s="28">
        <f>K6/'Nominal GDP'!$C6</f>
        <v>4.9257425742574258E-3</v>
      </c>
      <c r="L72" s="28">
        <f>L6/'Nominal GDP'!$C6</f>
        <v>1.5853960396039604E-2</v>
      </c>
      <c r="M72" s="28">
        <f>M6/'Nominal GDP'!$C6</f>
        <v>2.266089108910891E-2</v>
      </c>
      <c r="N72" s="28">
        <f>N6/'Nominal GDP'!$C6</f>
        <v>8.5024752475247531E-3</v>
      </c>
      <c r="O72" s="28">
        <f>O6/'Nominal GDP'!$C6</f>
        <v>1.7759900990099008E-2</v>
      </c>
      <c r="P72" s="28">
        <f>P6/'Nominal GDP'!$C6</f>
        <v>2.3081683168316831E-2</v>
      </c>
      <c r="Q72" s="28"/>
      <c r="R72" s="72"/>
    </row>
    <row r="73" spans="1:18">
      <c r="A73" s="192"/>
      <c r="B73" s="13">
        <v>1974</v>
      </c>
      <c r="C73" s="28">
        <f>C7/'Nominal GDP'!$C7</f>
        <v>0.24611686785599829</v>
      </c>
      <c r="D73" s="28"/>
      <c r="E73" s="28"/>
      <c r="F73" s="28"/>
      <c r="G73" s="28">
        <f>G7/'Nominal GDP'!$C7</f>
        <v>6.9095182138660394E-2</v>
      </c>
      <c r="H73" s="28">
        <f>H7/'Nominal GDP'!$C7</f>
        <v>4.28479863262472E-2</v>
      </c>
      <c r="I73" s="28">
        <f>I7/'Nominal GDP'!$C7</f>
        <v>4.7024890503151374E-2</v>
      </c>
      <c r="J73" s="28">
        <f>J7/'Nominal GDP'!$C7</f>
        <v>1.7946800555496207E-2</v>
      </c>
      <c r="K73" s="28">
        <f>K7/'Nominal GDP'!$C7</f>
        <v>4.9460527721397283E-3</v>
      </c>
      <c r="L73" s="28">
        <f>L7/'Nominal GDP'!$C7</f>
        <v>1.4816793077662642E-2</v>
      </c>
      <c r="M73" s="28">
        <f>M7/'Nominal GDP'!$C7</f>
        <v>1.8021578891144106E-2</v>
      </c>
      <c r="N73" s="28">
        <f>N7/'Nominal GDP'!$C7</f>
        <v>8.0333297724602074E-3</v>
      </c>
      <c r="O73" s="28">
        <f>O7/'Nominal GDP'!$C7</f>
        <v>2.0809742548872984E-2</v>
      </c>
      <c r="P73" s="28">
        <f>P7/'Nominal GDP'!$C7</f>
        <v>2.1568208524730265E-2</v>
      </c>
      <c r="Q73" s="28"/>
      <c r="R73" s="72"/>
    </row>
    <row r="74" spans="1:18">
      <c r="A74" s="192"/>
      <c r="B74" s="13">
        <v>1975</v>
      </c>
      <c r="C74" s="28">
        <f>C8/'Nominal GDP'!$C8</f>
        <v>0.2918455356267764</v>
      </c>
      <c r="D74" s="28"/>
      <c r="E74" s="28"/>
      <c r="F74" s="28"/>
      <c r="G74" s="28">
        <f>G8/'Nominal GDP'!$C8</f>
        <v>7.737920219543272E-2</v>
      </c>
      <c r="H74" s="28">
        <f>H8/'Nominal GDP'!$C8</f>
        <v>4.8250514554542781E-2</v>
      </c>
      <c r="I74" s="28">
        <f>I8/'Nominal GDP'!$C8</f>
        <v>5.1612270900715476E-2</v>
      </c>
      <c r="J74" s="28">
        <f>J8/'Nominal GDP'!$C8</f>
        <v>2.2385572870724301E-2</v>
      </c>
      <c r="K74" s="28">
        <f>K8/'Nominal GDP'!$C8</f>
        <v>5.9786337351759285E-3</v>
      </c>
      <c r="L74" s="28">
        <f>L8/'Nominal GDP'!$C8</f>
        <v>1.5975693423502892E-2</v>
      </c>
      <c r="M74" s="28">
        <f>M8/'Nominal GDP'!$C8</f>
        <v>2.0699794178182886E-2</v>
      </c>
      <c r="N74" s="28">
        <f>N8/'Nominal GDP'!$C8</f>
        <v>1.4240909536410861E-2</v>
      </c>
      <c r="O74" s="28">
        <f>O8/'Nominal GDP'!$C8</f>
        <v>3.0726256983240222E-2</v>
      </c>
      <c r="P74" s="28">
        <f>P8/'Nominal GDP'!$C8</f>
        <v>2.1738704302656082E-2</v>
      </c>
      <c r="Q74" s="28"/>
      <c r="R74" s="72"/>
    </row>
    <row r="75" spans="1:18">
      <c r="A75" s="192"/>
      <c r="B75" s="13">
        <v>1976</v>
      </c>
      <c r="C75" s="28">
        <f>C9/'Nominal GDP'!$C9</f>
        <v>0.30957761168086217</v>
      </c>
      <c r="D75" s="28"/>
      <c r="E75" s="28"/>
      <c r="F75" s="28"/>
      <c r="G75" s="28">
        <f>G9/'Nominal GDP'!$C9</f>
        <v>8.6650443247001566E-2</v>
      </c>
      <c r="H75" s="28">
        <f>H9/'Nominal GDP'!$C9</f>
        <v>5.2642099774030941E-2</v>
      </c>
      <c r="I75" s="28">
        <f>I9/'Nominal GDP'!$C9</f>
        <v>5.4493307839388147E-2</v>
      </c>
      <c r="J75" s="28">
        <f>J9/'Nominal GDP'!$C9</f>
        <v>2.3700677907178856E-2</v>
      </c>
      <c r="K75" s="28">
        <f>K9/'Nominal GDP'!$C9</f>
        <v>6.7616895532765509E-3</v>
      </c>
      <c r="L75" s="28">
        <f>L9/'Nominal GDP'!$C9</f>
        <v>1.6374065704849644E-2</v>
      </c>
      <c r="M75" s="28">
        <f>M9/'Nominal GDP'!$C9</f>
        <v>2.3883191378411266E-2</v>
      </c>
      <c r="N75" s="28">
        <f>N9/'Nominal GDP'!$C9</f>
        <v>1.9850512775942984E-2</v>
      </c>
      <c r="O75" s="28">
        <f>O9/'Nominal GDP'!$C9</f>
        <v>4.2942812445680517E-2</v>
      </c>
      <c r="P75" s="28">
        <f>P9/'Nominal GDP'!$C9</f>
        <v>2.3709369024856597E-2</v>
      </c>
      <c r="Q75" s="28"/>
      <c r="R75" s="72"/>
    </row>
    <row r="76" spans="1:18">
      <c r="A76" s="192"/>
      <c r="B76" s="13">
        <v>1977</v>
      </c>
      <c r="C76" s="28">
        <f>C10/'Nominal GDP'!$C10</f>
        <v>0.28320211852275984</v>
      </c>
      <c r="D76" s="28"/>
      <c r="E76" s="28"/>
      <c r="F76" s="28"/>
      <c r="G76" s="28">
        <f>G10/'Nominal GDP'!$C10</f>
        <v>8.2944460349269972E-2</v>
      </c>
      <c r="H76" s="28">
        <f>H10/'Nominal GDP'!$C10</f>
        <v>4.9320068708846268E-2</v>
      </c>
      <c r="I76" s="28">
        <f>I10/'Nominal GDP'!$C10</f>
        <v>5.0057257371886626E-2</v>
      </c>
      <c r="J76" s="28">
        <f>J10/'Nominal GDP'!$C10</f>
        <v>2.2559404523332383E-2</v>
      </c>
      <c r="K76" s="28">
        <f>K10/'Nominal GDP'!$C10</f>
        <v>5.6971085027197246E-3</v>
      </c>
      <c r="L76" s="28">
        <f>L10/'Nominal GDP'!$C10</f>
        <v>1.5080160320641281E-2</v>
      </c>
      <c r="M76" s="28">
        <f>M10/'Nominal GDP'!$C10</f>
        <v>1.6504437446321213E-2</v>
      </c>
      <c r="N76" s="28">
        <f>N10/'Nominal GDP'!$C10</f>
        <v>2.0984826796450043E-2</v>
      </c>
      <c r="O76" s="28">
        <f>O10/'Nominal GDP'!$C10</f>
        <v>2.0269109647867163E-2</v>
      </c>
      <c r="P76" s="28">
        <f>P10/'Nominal GDP'!$C10</f>
        <v>2.6574577726882338E-2</v>
      </c>
      <c r="Q76" s="28"/>
      <c r="R76" s="72"/>
    </row>
    <row r="77" spans="1:18">
      <c r="A77" s="192"/>
      <c r="B77" s="13">
        <v>1978</v>
      </c>
      <c r="C77" s="28">
        <f>C11/'Nominal GDP'!$C11</f>
        <v>0.31653156315823072</v>
      </c>
      <c r="D77" s="28"/>
      <c r="E77" s="28"/>
      <c r="F77" s="28"/>
      <c r="G77" s="28">
        <f>G11/'Nominal GDP'!$C11</f>
        <v>0.10016595391587413</v>
      </c>
      <c r="H77" s="28">
        <f>H11/'Nominal GDP'!$C11</f>
        <v>5.1605284993936303E-2</v>
      </c>
      <c r="I77" s="28">
        <f>I11/'Nominal GDP'!$C11</f>
        <v>5.1541456564753944E-2</v>
      </c>
      <c r="J77" s="28">
        <f>J11/'Nominal GDP'!$C11</f>
        <v>2.1554860534882234E-2</v>
      </c>
      <c r="K77" s="28">
        <f>K11/'Nominal GDP'!$C11</f>
        <v>6.8615561371034662E-3</v>
      </c>
      <c r="L77" s="28">
        <f>L11/'Nominal GDP'!$C11</f>
        <v>1.584221612306121E-2</v>
      </c>
      <c r="M77" s="28">
        <f>M11/'Nominal GDP'!$C11</f>
        <v>1.5803919065551796E-2</v>
      </c>
      <c r="N77" s="28">
        <f>N11/'Nominal GDP'!$C11</f>
        <v>2.3993106529648305E-2</v>
      </c>
      <c r="O77" s="28">
        <f>O11/'Nominal GDP'!$C11</f>
        <v>2.3533541839535328E-2</v>
      </c>
      <c r="P77" s="28">
        <f>P11/'Nominal GDP'!$C11</f>
        <v>3.0082338673645244E-2</v>
      </c>
      <c r="Q77" s="28"/>
      <c r="R77" s="72"/>
    </row>
    <row r="78" spans="1:18">
      <c r="A78" s="192"/>
      <c r="B78" s="13">
        <v>1979</v>
      </c>
      <c r="C78" s="28">
        <f>C12/'Nominal GDP'!$C12</f>
        <v>0.34247613700168444</v>
      </c>
      <c r="D78" s="28"/>
      <c r="E78" s="28"/>
      <c r="F78" s="28"/>
      <c r="G78" s="28">
        <f>G12/'Nominal GDP'!$C12</f>
        <v>0.10407074677147669</v>
      </c>
      <c r="H78" s="28">
        <f>H12/'Nominal GDP'!$C12</f>
        <v>5.5030881527231894E-2</v>
      </c>
      <c r="I78" s="28">
        <f>I12/'Nominal GDP'!$C12</f>
        <v>5.2178551375631668E-2</v>
      </c>
      <c r="J78" s="28">
        <f>J12/'Nominal GDP'!$C12</f>
        <v>2.3582257158899493E-2</v>
      </c>
      <c r="K78" s="28">
        <f>K12/'Nominal GDP'!$C12</f>
        <v>7.821448624368333E-3</v>
      </c>
      <c r="L78" s="28">
        <f>L12/'Nominal GDP'!$C12</f>
        <v>1.6462661426165075E-2</v>
      </c>
      <c r="M78" s="28">
        <f>M12/'Nominal GDP'!$C12</f>
        <v>1.5670971364402021E-2</v>
      </c>
      <c r="N78" s="28">
        <f>N12/'Nominal GDP'!$C12</f>
        <v>2.729365524985963E-2</v>
      </c>
      <c r="O78" s="28">
        <f>O12/'Nominal GDP'!$C12</f>
        <v>2.849522740033689E-2</v>
      </c>
      <c r="P78" s="28">
        <f>P12/'Nominal GDP'!$C12</f>
        <v>3.3453116226838851E-2</v>
      </c>
      <c r="Q78" s="28"/>
      <c r="R78" s="72"/>
    </row>
    <row r="79" spans="1:18">
      <c r="A79" s="192"/>
      <c r="B79" s="13">
        <v>1980</v>
      </c>
      <c r="C79" s="28">
        <f>C13/'Nominal GDP'!$C13</f>
        <v>0.33929718680035043</v>
      </c>
      <c r="D79" s="28"/>
      <c r="E79" s="28"/>
      <c r="F79" s="28"/>
      <c r="G79" s="28">
        <f>G13/'Nominal GDP'!$C13</f>
        <v>0.10586002141536065</v>
      </c>
      <c r="H79" s="28">
        <f>H13/'Nominal GDP'!$C13</f>
        <v>5.5300301761900129E-2</v>
      </c>
      <c r="I79" s="28">
        <f>I13/'Nominal GDP'!$C13</f>
        <v>4.9123917064148738E-2</v>
      </c>
      <c r="J79" s="28">
        <f>J13/'Nominal GDP'!$C13</f>
        <v>2.2763554949868588E-2</v>
      </c>
      <c r="K79" s="28">
        <f>K13/'Nominal GDP'!$C13</f>
        <v>8.0161588630390333E-3</v>
      </c>
      <c r="L79" s="28">
        <f>L13/'Nominal GDP'!$C13</f>
        <v>1.65871702521172E-2</v>
      </c>
      <c r="M79" s="28">
        <f>M13/'Nominal GDP'!$C13</f>
        <v>1.2897887666699115E-2</v>
      </c>
      <c r="N79" s="28">
        <f>N13/'Nominal GDP'!$C13</f>
        <v>1.9395502774262632E-2</v>
      </c>
      <c r="O79" s="28">
        <f>O13/'Nominal GDP'!$C13</f>
        <v>2.3683442032512412E-2</v>
      </c>
      <c r="P79" s="28">
        <f>P13/'Nominal GDP'!$C13</f>
        <v>3.7301664557578114E-2</v>
      </c>
      <c r="Q79" s="28"/>
      <c r="R79" s="72"/>
    </row>
    <row r="80" spans="1:18">
      <c r="A80" s="192"/>
      <c r="B80" s="13">
        <v>1981</v>
      </c>
      <c r="C80" s="28">
        <f>C14/'Nominal GDP'!$C14</f>
        <v>0.35506503251625809</v>
      </c>
      <c r="D80" s="28"/>
      <c r="E80" s="28"/>
      <c r="F80" s="28"/>
      <c r="G80" s="28">
        <f>G14/'Nominal GDP'!$C14</f>
        <v>0.10795814573953642</v>
      </c>
      <c r="H80" s="28">
        <f>H14/'Nominal GDP'!$C14</f>
        <v>5.6540770385192597E-2</v>
      </c>
      <c r="I80" s="28">
        <f>I14/'Nominal GDP'!$C14</f>
        <v>5.3860263465065866E-2</v>
      </c>
      <c r="J80" s="28">
        <f>J14/'Nominal GDP'!$C14</f>
        <v>2.3695180923795231E-2</v>
      </c>
      <c r="K80" s="28">
        <f>K14/'Nominal GDP'!$C14</f>
        <v>8.7043521760880437E-3</v>
      </c>
      <c r="L80" s="28">
        <f>L14/'Nominal GDP'!$C14</f>
        <v>1.8609304652326162E-2</v>
      </c>
      <c r="M80" s="28">
        <f>M14/'Nominal GDP'!$C14</f>
        <v>1.3865265966316492E-2</v>
      </c>
      <c r="N80" s="28">
        <f>N14/'Nominal GDP'!$C14</f>
        <v>1.8121560780390195E-2</v>
      </c>
      <c r="O80" s="28">
        <f>O14/'Nominal GDP'!$C14</f>
        <v>2.0947973986993496E-2</v>
      </c>
      <c r="P80" s="28">
        <f>P14/'Nominal GDP'!$C14</f>
        <v>3.7389528097382024E-2</v>
      </c>
      <c r="Q80" s="28"/>
      <c r="R80" s="72"/>
    </row>
    <row r="81" spans="1:18">
      <c r="A81" s="192"/>
      <c r="B81" s="13">
        <v>1982</v>
      </c>
      <c r="C81" s="28">
        <f>C15/'Nominal GDP'!$C15</f>
        <v>0.35854003031555742</v>
      </c>
      <c r="D81" s="28"/>
      <c r="E81" s="28"/>
      <c r="F81" s="28"/>
      <c r="G81" s="28">
        <f>G15/'Nominal GDP'!$C15</f>
        <v>0.1048057048367094</v>
      </c>
      <c r="H81" s="28">
        <f>H15/'Nominal GDP'!$C15</f>
        <v>5.516053465619402E-2</v>
      </c>
      <c r="I81" s="28">
        <f>I15/'Nominal GDP'!$C15</f>
        <v>5.143998897616095E-2</v>
      </c>
      <c r="J81" s="28">
        <f>J15/'Nominal GDP'!$C15</f>
        <v>2.3184511506132009E-2</v>
      </c>
      <c r="K81" s="28">
        <f>K15/'Nominal GDP'!$C15</f>
        <v>8.7329474989665153E-3</v>
      </c>
      <c r="L81" s="28">
        <f>L15/'Nominal GDP'!$C15</f>
        <v>2.0018602728400166E-2</v>
      </c>
      <c r="M81" s="28">
        <f>M15/'Nominal GDP'!$C15</f>
        <v>1.5867438335400302E-2</v>
      </c>
      <c r="N81" s="28">
        <f>N15/'Nominal GDP'!$C15</f>
        <v>2.2474851867162738E-2</v>
      </c>
      <c r="O81" s="28">
        <f>O15/'Nominal GDP'!$C15</f>
        <v>2.2657434201460661E-2</v>
      </c>
      <c r="P81" s="28">
        <f>P15/'Nominal GDP'!$C15</f>
        <v>4.1718340912222679E-2</v>
      </c>
      <c r="Q81" s="28"/>
      <c r="R81" s="72"/>
    </row>
    <row r="82" spans="1:18">
      <c r="A82" s="192"/>
      <c r="B82" s="13">
        <v>1983</v>
      </c>
      <c r="C82" s="28">
        <f>C16/'Nominal GDP'!$C16</f>
        <v>0.35769760067013701</v>
      </c>
      <c r="D82" s="28"/>
      <c r="E82" s="28"/>
      <c r="F82" s="28"/>
      <c r="G82" s="28">
        <f>G16/'Nominal GDP'!$C16</f>
        <v>0.11201459941363011</v>
      </c>
      <c r="H82" s="28">
        <f>H16/'Nominal GDP'!$C16</f>
        <v>5.2833123915514868E-2</v>
      </c>
      <c r="I82" s="28">
        <f>I16/'Nominal GDP'!$C16</f>
        <v>4.902770298569975E-2</v>
      </c>
      <c r="J82" s="28">
        <f>J16/'Nominal GDP'!$C16</f>
        <v>2.1154191348052419E-2</v>
      </c>
      <c r="K82" s="28">
        <f>K16/'Nominal GDP'!$C16</f>
        <v>7.9668521510201651E-3</v>
      </c>
      <c r="L82" s="28">
        <f>L16/'Nominal GDP'!$C16</f>
        <v>1.9269430981870402E-2</v>
      </c>
      <c r="M82" s="28">
        <f>M16/'Nominal GDP'!$C16</f>
        <v>1.4826781547298511E-2</v>
      </c>
      <c r="N82" s="28">
        <f>N16/'Nominal GDP'!$C16</f>
        <v>2.2201280440375757E-2</v>
      </c>
      <c r="O82" s="28">
        <f>O16/'Nominal GDP'!$C16</f>
        <v>2.1267875306647522E-2</v>
      </c>
      <c r="P82" s="28">
        <f>P16/'Nominal GDP'!$C16</f>
        <v>4.4653862262909107E-2</v>
      </c>
      <c r="Q82" s="28"/>
      <c r="R82" s="72"/>
    </row>
    <row r="83" spans="1:18">
      <c r="A83" s="192"/>
      <c r="B83" s="13">
        <v>1984</v>
      </c>
      <c r="C83" s="28">
        <f>C17/'Nominal GDP'!$C17</f>
        <v>0.36036292379137252</v>
      </c>
      <c r="D83" s="28"/>
      <c r="E83" s="28"/>
      <c r="F83" s="28"/>
      <c r="G83" s="28">
        <f>G17/'Nominal GDP'!$C17</f>
        <v>0.10869997047217674</v>
      </c>
      <c r="H83" s="28">
        <f>H17/'Nominal GDP'!$C17</f>
        <v>4.8449789278715807E-2</v>
      </c>
      <c r="I83" s="28">
        <f>I17/'Nominal GDP'!$C17</f>
        <v>4.4944031353179606E-2</v>
      </c>
      <c r="J83" s="28">
        <f>J17/'Nominal GDP'!$C17</f>
        <v>1.9574262475505328E-2</v>
      </c>
      <c r="K83" s="28">
        <f>K17/'Nominal GDP'!$C17</f>
        <v>7.2826349555740483E-3</v>
      </c>
      <c r="L83" s="28">
        <f>L17/'Nominal GDP'!$C17</f>
        <v>1.7722062652672271E-2</v>
      </c>
      <c r="M83" s="28">
        <f>M17/'Nominal GDP'!$C17</f>
        <v>1.4417630794835316E-2</v>
      </c>
      <c r="N83" s="28">
        <f>N17/'Nominal GDP'!$C17</f>
        <v>2.4057122916275202E-2</v>
      </c>
      <c r="O83" s="28">
        <f>O17/'Nominal GDP'!$C17</f>
        <v>2.6738786138029151E-2</v>
      </c>
      <c r="P83" s="28">
        <f>P17/'Nominal GDP'!$C17</f>
        <v>5.4811693018011975E-2</v>
      </c>
      <c r="Q83" s="28"/>
      <c r="R83" s="72"/>
    </row>
    <row r="84" spans="1:18">
      <c r="A84" s="192"/>
      <c r="B84" s="13">
        <v>1985</v>
      </c>
      <c r="C84" s="28">
        <f>C18/'Nominal GDP'!$C18</f>
        <v>0.34404649180948771</v>
      </c>
      <c r="D84" s="28"/>
      <c r="E84" s="28"/>
      <c r="F84" s="28"/>
      <c r="G84" s="28">
        <f>G18/'Nominal GDP'!$C18</f>
        <v>0.10551794337657419</v>
      </c>
      <c r="H84" s="28">
        <f>H18/'Nominal GDP'!$C18</f>
        <v>4.5249029447968943E-2</v>
      </c>
      <c r="I84" s="28">
        <f>I18/'Nominal GDP'!$C18</f>
        <v>4.0919420509421454E-2</v>
      </c>
      <c r="J84" s="28">
        <f>J18/'Nominal GDP'!$C18</f>
        <v>1.9115140611684501E-2</v>
      </c>
      <c r="K84" s="28">
        <f>K18/'Nominal GDP'!$C18</f>
        <v>6.9145914212669262E-3</v>
      </c>
      <c r="L84" s="28">
        <f>L18/'Nominal GDP'!$C18</f>
        <v>1.763800776441625E-2</v>
      </c>
      <c r="M84" s="28">
        <f>M18/'Nominal GDP'!$C18</f>
        <v>1.2860998011551935E-2</v>
      </c>
      <c r="N84" s="28">
        <f>N18/'Nominal GDP'!$C18</f>
        <v>2.0684594261907017E-2</v>
      </c>
      <c r="O84" s="28">
        <f>O18/'Nominal GDP'!$C18</f>
        <v>1.9853707035318625E-2</v>
      </c>
      <c r="P84" s="28">
        <f>P18/'Nominal GDP'!$C18</f>
        <v>6.0661869141179811E-2</v>
      </c>
      <c r="Q84" s="28"/>
      <c r="R84" s="72"/>
    </row>
    <row r="85" spans="1:18">
      <c r="A85" s="192"/>
      <c r="B85" s="13">
        <v>1986</v>
      </c>
      <c r="C85" s="28">
        <f>C19/'Nominal GDP'!$C19</f>
        <v>0.34824822157075791</v>
      </c>
      <c r="D85" s="28"/>
      <c r="E85" s="28"/>
      <c r="F85" s="28"/>
      <c r="G85" s="28">
        <f>G19/'Nominal GDP'!$C19</f>
        <v>0.1117099571536932</v>
      </c>
      <c r="H85" s="28">
        <f>H19/'Nominal GDP'!$C19</f>
        <v>4.7335943746284262E-2</v>
      </c>
      <c r="I85" s="28">
        <f>I19/'Nominal GDP'!$C19</f>
        <v>4.1212406978412844E-2</v>
      </c>
      <c r="J85" s="28">
        <f>J19/'Nominal GDP'!$C19</f>
        <v>2.1488755407039914E-2</v>
      </c>
      <c r="K85" s="28">
        <f>K19/'Nominal GDP'!$C19</f>
        <v>8.0177945427335542E-3</v>
      </c>
      <c r="L85" s="28">
        <f>L19/'Nominal GDP'!$C19</f>
        <v>1.7468582791775149E-2</v>
      </c>
      <c r="M85" s="28">
        <f>M19/'Nominal GDP'!$C19</f>
        <v>1.7745341232907604E-2</v>
      </c>
      <c r="N85" s="28">
        <f>N19/'Nominal GDP'!$C19</f>
        <v>1.5482072203202199E-2</v>
      </c>
      <c r="O85" s="28">
        <f>O19/'Nominal GDP'!$C19</f>
        <v>9.4466881239877818E-3</v>
      </c>
      <c r="P85" s="28">
        <f>P19/'Nominal GDP'!$C19</f>
        <v>6.847208839869616E-2</v>
      </c>
      <c r="Q85" s="28"/>
      <c r="R85" s="72"/>
    </row>
    <row r="86" spans="1:18">
      <c r="A86" s="192"/>
      <c r="B86" s="161" t="s">
        <v>38</v>
      </c>
      <c r="C86" s="28">
        <f>C20/'Nominal GDP'!$C20</f>
        <v>0.35930840508688072</v>
      </c>
      <c r="D86" s="28"/>
      <c r="E86" s="28"/>
      <c r="F86" s="28"/>
      <c r="G86" s="28">
        <f>G20/'Nominal GDP'!$C20</f>
        <v>0.11180266767898124</v>
      </c>
      <c r="H86" s="28">
        <f>H20/'Nominal GDP'!$C20</f>
        <v>5.1029282349490106E-2</v>
      </c>
      <c r="I86" s="28">
        <f>I20/'Nominal GDP'!$C20</f>
        <v>4.4781115731713624E-2</v>
      </c>
      <c r="J86" s="28">
        <f>J20/'Nominal GDP'!$C20</f>
        <v>2.0803064552309628E-2</v>
      </c>
      <c r="K86" s="28">
        <f>K20/'Nominal GDP'!$C20</f>
        <v>8.983141511224613E-3</v>
      </c>
      <c r="L86" s="28">
        <f>L20/'Nominal GDP'!$C20</f>
        <v>1.8499473711455834E-2</v>
      </c>
      <c r="M86" s="28">
        <f>M20/'Nominal GDP'!$C20</f>
        <v>1.7935223370662435E-2</v>
      </c>
      <c r="N86" s="28">
        <f>N20/'Nominal GDP'!$C20</f>
        <v>1.7384777319552052E-2</v>
      </c>
      <c r="O86" s="28">
        <f>O20/'Nominal GDP'!$C20</f>
        <v>8.2204545062378124E-3</v>
      </c>
      <c r="P86" s="28">
        <f>P20/'Nominal GDP'!$C20</f>
        <v>7.0607216192431793E-2</v>
      </c>
      <c r="Q86" s="28"/>
      <c r="R86" s="72"/>
    </row>
    <row r="87" spans="1:18">
      <c r="A87" s="192"/>
      <c r="B87" s="161" t="s">
        <v>39</v>
      </c>
      <c r="C87" s="28">
        <f>C21/'Nominal GDP'!$C21</f>
        <v>0.38218269983273745</v>
      </c>
      <c r="D87" s="28"/>
      <c r="E87" s="28"/>
      <c r="F87" s="28"/>
      <c r="G87" s="28">
        <f>G21/'Nominal GDP'!$C21</f>
        <v>0.11956818635198796</v>
      </c>
      <c r="H87" s="28">
        <f>H21/'Nominal GDP'!$C21</f>
        <v>5.1981831294980588E-2</v>
      </c>
      <c r="I87" s="28">
        <f>I21/'Nominal GDP'!$C21</f>
        <v>4.7849371614467444E-2</v>
      </c>
      <c r="J87" s="28">
        <f>J21/'Nominal GDP'!$C21</f>
        <v>2.7593720748231469E-2</v>
      </c>
      <c r="K87" s="28">
        <f>K21/'Nominal GDP'!$C21</f>
        <v>1.0456212500191815E-2</v>
      </c>
      <c r="L87" s="28">
        <f>L21/'Nominal GDP'!$C21</f>
        <v>1.929811100710482E-2</v>
      </c>
      <c r="M87" s="28">
        <f>M21/'Nominal GDP'!$C21</f>
        <v>1.0048030444857059E-2</v>
      </c>
      <c r="N87" s="28">
        <f>N21/'Nominal GDP'!$C21</f>
        <v>1.5446468304509952E-2</v>
      </c>
      <c r="O87" s="28">
        <f>O21/'Nominal GDP'!$C21</f>
        <v>5.263400187211319E-3</v>
      </c>
      <c r="P87" s="28">
        <f>P21/'Nominal GDP'!$C21</f>
        <v>7.6279405220433652E-2</v>
      </c>
      <c r="Q87" s="28"/>
      <c r="R87" s="72"/>
    </row>
    <row r="88" spans="1:18">
      <c r="A88" s="193"/>
      <c r="B88" s="162" t="s">
        <v>40</v>
      </c>
      <c r="C88" s="29">
        <f>C22/'Nominal GDP'!$C22</f>
        <v>0.37417349813815853</v>
      </c>
      <c r="D88" s="29"/>
      <c r="E88" s="29"/>
      <c r="F88" s="29"/>
      <c r="G88" s="29">
        <f>G22/'Nominal GDP'!$C22</f>
        <v>0.12917215308159538</v>
      </c>
      <c r="H88" s="29">
        <f>H22/'Nominal GDP'!$C22</f>
        <v>5.1526993161449264E-2</v>
      </c>
      <c r="I88" s="29">
        <f>I22/'Nominal GDP'!$C22</f>
        <v>5.0534483002732583E-2</v>
      </c>
      <c r="J88" s="29">
        <f>J22/'Nominal GDP'!$C22</f>
        <v>2.6704328250435373E-2</v>
      </c>
      <c r="K88" s="29">
        <f>K22/'Nominal GDP'!$C22</f>
        <v>1.2228687932718856E-2</v>
      </c>
      <c r="L88" s="29">
        <f>L22/'Nominal GDP'!$C22</f>
        <v>1.9353240170468224E-2</v>
      </c>
      <c r="M88" s="29">
        <f>M22/'Nominal GDP'!$C22</f>
        <v>9.5145053731470076E-3</v>
      </c>
      <c r="N88" s="29">
        <f>N22/'Nominal GDP'!$C22</f>
        <v>1.2347619249883193E-2</v>
      </c>
      <c r="O88" s="29">
        <f>O22/'Nominal GDP'!$C22</f>
        <v>5.0361749423041523E-3</v>
      </c>
      <c r="P88" s="29">
        <f>P22/'Nominal GDP'!$C22</f>
        <v>6.3607016947712702E-2</v>
      </c>
      <c r="Q88" s="29"/>
      <c r="R88" s="72"/>
    </row>
    <row r="89" spans="1:18" ht="12.75" customHeight="1">
      <c r="A89" s="192" t="s">
        <v>41</v>
      </c>
      <c r="B89" s="161" t="s">
        <v>42</v>
      </c>
      <c r="C89" s="28">
        <f>C23/'Nominal GDP'!$C23</f>
        <v>0.38986425339366515</v>
      </c>
      <c r="D89" s="28"/>
      <c r="E89" s="28"/>
      <c r="F89" s="28"/>
      <c r="G89" s="28">
        <f>G23/'Nominal GDP'!$C23</f>
        <v>0.13734096353473516</v>
      </c>
      <c r="H89" s="28">
        <f>H23/'Nominal GDP'!$C23</f>
        <v>5.0335373968591959E-2</v>
      </c>
      <c r="I89" s="28">
        <f>I23/'Nominal GDP'!$C23</f>
        <v>5.4141602342294384E-2</v>
      </c>
      <c r="J89" s="28">
        <f>J23/'Nominal GDP'!$C23</f>
        <v>3.1627628426936387E-2</v>
      </c>
      <c r="K89" s="28">
        <f>K23/'Nominal GDP'!$C23</f>
        <v>1.27588501463934E-2</v>
      </c>
      <c r="L89" s="28">
        <f>L23/'Nominal GDP'!$C23</f>
        <v>1.7997072132020227E-2</v>
      </c>
      <c r="M89" s="28">
        <f>M23/'Nominal GDP'!$C23</f>
        <v>1.1821932392866647E-2</v>
      </c>
      <c r="N89" s="28">
        <f>N23/'Nominal GDP'!$C23</f>
        <v>1.1581048709076391E-2</v>
      </c>
      <c r="O89" s="28">
        <f>O23/'Nominal GDP'!$C23</f>
        <v>3.8501463933989888E-3</v>
      </c>
      <c r="P89" s="28">
        <f>P23/'Nominal GDP'!$C23</f>
        <v>6.287596486558425E-2</v>
      </c>
      <c r="Q89" s="28"/>
      <c r="R89" s="72"/>
    </row>
    <row r="90" spans="1:18">
      <c r="A90" s="192"/>
      <c r="B90" s="161" t="s">
        <v>43</v>
      </c>
      <c r="C90" s="28">
        <f>C24/'Nominal GDP'!$C24</f>
        <v>0.3988730762648271</v>
      </c>
      <c r="D90" s="28"/>
      <c r="E90" s="28"/>
      <c r="F90" s="28"/>
      <c r="G90" s="28">
        <f>G24/'Nominal GDP'!$C24</f>
        <v>0.13582327308153083</v>
      </c>
      <c r="H90" s="28">
        <f>H24/'Nominal GDP'!$C24</f>
        <v>5.2475677668215745E-2</v>
      </c>
      <c r="I90" s="28">
        <f>I24/'Nominal GDP'!$C24</f>
        <v>5.7939151384299427E-2</v>
      </c>
      <c r="J90" s="28">
        <f>J24/'Nominal GDP'!$C24</f>
        <v>3.2213430929843731E-2</v>
      </c>
      <c r="K90" s="28">
        <f>K24/'Nominal GDP'!$C24</f>
        <v>1.3216340394160007E-2</v>
      </c>
      <c r="L90" s="28">
        <f>L24/'Nominal GDP'!$C24</f>
        <v>1.736726391869298E-2</v>
      </c>
      <c r="M90" s="28">
        <f>M24/'Nominal GDP'!$C24</f>
        <v>1.0874287444542451E-2</v>
      </c>
      <c r="N90" s="28">
        <f>N24/'Nominal GDP'!$C24</f>
        <v>1.3675798786187285E-2</v>
      </c>
      <c r="O90" s="28">
        <f>O24/'Nominal GDP'!$C24</f>
        <v>4.4129069629668637E-3</v>
      </c>
      <c r="P90" s="28">
        <f>P24/'Nominal GDP'!$C24</f>
        <v>6.0874945694387762E-2</v>
      </c>
      <c r="Q90" s="28"/>
      <c r="R90" s="72"/>
    </row>
    <row r="91" spans="1:18">
      <c r="A91" s="192"/>
      <c r="B91" s="161" t="s">
        <v>44</v>
      </c>
      <c r="C91" s="30">
        <f>C25/'Nominal GDP'!$C25</f>
        <v>0.37925744891061308</v>
      </c>
      <c r="D91" s="30"/>
      <c r="E91" s="30"/>
      <c r="F91" s="30"/>
      <c r="G91" s="30">
        <f>G25/'Nominal GDP'!$C25</f>
        <v>0.1380583432998804</v>
      </c>
      <c r="H91" s="30">
        <f>H25/'Nominal GDP'!$C25</f>
        <v>5.0114398627216471E-2</v>
      </c>
      <c r="I91" s="30">
        <f>I25/'Nominal GDP'!$C25</f>
        <v>5.8070303156362121E-2</v>
      </c>
      <c r="J91" s="30">
        <f>J25/'Nominal GDP'!$C25</f>
        <v>2.7100774790702508E-2</v>
      </c>
      <c r="K91" s="30">
        <f>K25/'Nominal GDP'!$C25</f>
        <v>1.347173833913993E-2</v>
      </c>
      <c r="L91" s="30">
        <f>L25/'Nominal GDP'!$C25</f>
        <v>1.6093806874317509E-2</v>
      </c>
      <c r="M91" s="30">
        <f>M25/'Nominal GDP'!$C25</f>
        <v>1.0607872705527533E-2</v>
      </c>
      <c r="N91" s="30">
        <f>N25/'Nominal GDP'!$C25</f>
        <v>8.3290000519993766E-3</v>
      </c>
      <c r="O91" s="30">
        <f>O25/'Nominal GDP'!$C25</f>
        <v>3.5008579897041238E-3</v>
      </c>
      <c r="P91" s="30">
        <f>P25/'Nominal GDP'!$C25</f>
        <v>5.3910353075763091E-2</v>
      </c>
      <c r="Q91" s="30"/>
      <c r="R91" s="72"/>
    </row>
    <row r="92" spans="1:18">
      <c r="A92" s="193"/>
      <c r="B92" s="162" t="s">
        <v>45</v>
      </c>
      <c r="C92" s="31">
        <f>C26/'Nominal GDP'!$C26</f>
        <v>0.37074191231143427</v>
      </c>
      <c r="D92" s="31"/>
      <c r="E92" s="31"/>
      <c r="F92" s="31"/>
      <c r="G92" s="31">
        <f>G26/'Nominal GDP'!$C26</f>
        <v>0.13481203291786917</v>
      </c>
      <c r="H92" s="31">
        <f>H26/'Nominal GDP'!$C26</f>
        <v>4.8817250374925958E-2</v>
      </c>
      <c r="I92" s="31">
        <f>I26/'Nominal GDP'!$C26</f>
        <v>5.6756858939621173E-2</v>
      </c>
      <c r="J92" s="31">
        <f>J26/'Nominal GDP'!$C26</f>
        <v>2.7462223846551309E-2</v>
      </c>
      <c r="K92" s="31">
        <f>K26/'Nominal GDP'!$C26</f>
        <v>1.6148911769524509E-2</v>
      </c>
      <c r="L92" s="31">
        <f>L26/'Nominal GDP'!$C26</f>
        <v>1.4762630909022169E-2</v>
      </c>
      <c r="M92" s="31">
        <f>M26/'Nominal GDP'!$C26</f>
        <v>9.0435922317861593E-3</v>
      </c>
      <c r="N92" s="31">
        <f>N26/'Nominal GDP'!$C26</f>
        <v>1.1898070549093247E-2</v>
      </c>
      <c r="O92" s="31">
        <f>O26/'Nominal GDP'!$C26</f>
        <v>1.8891227362663676E-3</v>
      </c>
      <c r="P92" s="31">
        <f>P26/'Nominal GDP'!$C26</f>
        <v>4.9131053951530577E-2</v>
      </c>
      <c r="Q92" s="31"/>
      <c r="R92" s="72"/>
    </row>
    <row r="93" spans="1:18" ht="12.75" customHeight="1">
      <c r="A93" s="191" t="s">
        <v>46</v>
      </c>
      <c r="B93" s="161" t="s">
        <v>47</v>
      </c>
      <c r="C93" s="34"/>
      <c r="D93" s="34">
        <f>D27/'Nominal GDP'!$C27</f>
        <v>0.33099696620985458</v>
      </c>
      <c r="E93" s="34"/>
      <c r="F93" s="34"/>
      <c r="G93" s="34">
        <f>G27/'Nominal GDP'!$C27</f>
        <v>0.13335890551080423</v>
      </c>
      <c r="H93" s="34">
        <f>H27/'Nominal GDP'!$C27</f>
        <v>4.7703734700282455E-2</v>
      </c>
      <c r="I93" s="34">
        <f>I27/'Nominal GDP'!$C27</f>
        <v>4.8505771175506501E-2</v>
      </c>
      <c r="J93" s="34">
        <f>J27/'Nominal GDP'!$C27</f>
        <v>1.9446478594925085E-2</v>
      </c>
      <c r="K93" s="34">
        <f>K27/'Nominal GDP'!$C27</f>
        <v>1.330915600190629E-2</v>
      </c>
      <c r="L93" s="34">
        <f>L27/'Nominal GDP'!$C27</f>
        <v>1.2193279166811963E-2</v>
      </c>
      <c r="M93" s="34">
        <f>M27/'Nominal GDP'!$C27</f>
        <v>8.5201845846264723E-3</v>
      </c>
      <c r="N93" s="34">
        <f>N27/'Nominal GDP'!$C27</f>
        <v>7.5902872220478665E-3</v>
      </c>
      <c r="O93" s="34">
        <f>O27/'Nominal GDP'!$C27</f>
        <v>6.7766270297915871E-3</v>
      </c>
      <c r="P93" s="34">
        <f>P27/'Nominal GDP'!$C27</f>
        <v>4.4030640118096966E-2</v>
      </c>
      <c r="Q93" s="21">
        <f>Q27/'Nominal GDP'!$C27</f>
        <v>-1.0438097894944846E-2</v>
      </c>
      <c r="R93" s="72"/>
    </row>
    <row r="94" spans="1:18">
      <c r="A94" s="192"/>
      <c r="B94" s="161" t="s">
        <v>48</v>
      </c>
      <c r="C94" s="34"/>
      <c r="D94" s="34">
        <f>D28/'Nominal GDP'!$C28</f>
        <v>0.31789938735758511</v>
      </c>
      <c r="E94" s="34"/>
      <c r="F94" s="34"/>
      <c r="G94" s="34">
        <f>G28/'Nominal GDP'!$C28</f>
        <v>0.12756673231987986</v>
      </c>
      <c r="H94" s="34">
        <f>H28/'Nominal GDP'!$C28</f>
        <v>4.7520593708173284E-2</v>
      </c>
      <c r="I94" s="34">
        <f>I28/'Nominal GDP'!$C28</f>
        <v>4.720502301489711E-2</v>
      </c>
      <c r="J94" s="34">
        <f>J28/'Nominal GDP'!$C28</f>
        <v>1.4146272457207525E-2</v>
      </c>
      <c r="K94" s="34">
        <f>K28/'Nominal GDP'!$C28</f>
        <v>1.2796935699750808E-2</v>
      </c>
      <c r="L94" s="34">
        <f>L28/'Nominal GDP'!$C28</f>
        <v>1.1023210768577865E-2</v>
      </c>
      <c r="M94" s="34">
        <f>M28/'Nominal GDP'!$C28</f>
        <v>7.7695681034201337E-3</v>
      </c>
      <c r="N94" s="34">
        <f>N28/'Nominal GDP'!$C28</f>
        <v>6.7684472833716008E-3</v>
      </c>
      <c r="O94" s="34">
        <f>O28/'Nominal GDP'!$C28</f>
        <v>8.2157197732243715E-3</v>
      </c>
      <c r="P94" s="34">
        <f>P28/'Nominal GDP'!$C28</f>
        <v>4.0882727401329748E-2</v>
      </c>
      <c r="Q94" s="21">
        <f>Q28/'Nominal GDP'!$C28</f>
        <v>-5.9958431722471894E-3</v>
      </c>
      <c r="R94" s="72"/>
    </row>
    <row r="95" spans="1:18">
      <c r="A95" s="192"/>
      <c r="B95" s="161" t="s">
        <v>49</v>
      </c>
      <c r="C95" s="34"/>
      <c r="D95" s="34">
        <f>D29/'Nominal GDP'!$C29</f>
        <v>0.31242825516562805</v>
      </c>
      <c r="E95" s="34"/>
      <c r="F95" s="34"/>
      <c r="G95" s="34">
        <f>G29/'Nominal GDP'!$C29</f>
        <v>0.12544071826828468</v>
      </c>
      <c r="H95" s="34">
        <f>H29/'Nominal GDP'!$C29</f>
        <v>4.7884552312233521E-2</v>
      </c>
      <c r="I95" s="34">
        <f>I29/'Nominal GDP'!$C29</f>
        <v>4.5742456543128897E-2</v>
      </c>
      <c r="J95" s="34">
        <f>J29/'Nominal GDP'!$C29</f>
        <v>1.5455887176123319E-2</v>
      </c>
      <c r="K95" s="34">
        <f>K29/'Nominal GDP'!$C29</f>
        <v>1.2524598228927517E-2</v>
      </c>
      <c r="L95" s="34">
        <f>L29/'Nominal GDP'!$C29</f>
        <v>9.9417841915382093E-3</v>
      </c>
      <c r="M95" s="34">
        <f>M29/'Nominal GDP'!$C29</f>
        <v>7.5537061331584126E-3</v>
      </c>
      <c r="N95" s="34">
        <f>N29/'Nominal GDP'!$C29</f>
        <v>9.7367989504755659E-3</v>
      </c>
      <c r="O95" s="34">
        <f>O29/'Nominal GDP'!$C29</f>
        <v>6.3750409970482124E-3</v>
      </c>
      <c r="P95" s="34">
        <f>P29/'Nominal GDP'!$C29</f>
        <v>3.7953017382748443E-2</v>
      </c>
      <c r="Q95" s="21">
        <f>Q29/'Nominal GDP'!$C29</f>
        <v>-6.1803050180387013E-3</v>
      </c>
      <c r="R95" s="72"/>
    </row>
    <row r="96" spans="1:18" ht="12.75" customHeight="1">
      <c r="A96" s="186" t="s">
        <v>50</v>
      </c>
      <c r="B96" s="11">
        <v>1997</v>
      </c>
      <c r="C96" s="36"/>
      <c r="D96" s="36">
        <f>D30/'Nominal GDP'!$C30</f>
        <v>0.30721279473106156</v>
      </c>
      <c r="E96" s="36">
        <f>E30/'Nominal GDP'!$C30</f>
        <v>0.36824800358469262</v>
      </c>
      <c r="F96" s="34"/>
      <c r="G96" s="36">
        <f>G30/'Nominal GDP'!$C30</f>
        <v>0.11929839288981968</v>
      </c>
      <c r="H96" s="36">
        <f>H30/'Nominal GDP'!$C30</f>
        <v>4.9253219724793108E-2</v>
      </c>
      <c r="I96" s="36">
        <f>I30/'Nominal GDP'!$C30</f>
        <v>4.7176925713726066E-2</v>
      </c>
      <c r="J96" s="36">
        <f>J30/'Nominal GDP'!$C30</f>
        <v>1.9156750403995886E-2</v>
      </c>
      <c r="K96" s="36">
        <f>K30/'Nominal GDP'!$C30</f>
        <v>1.2399001028353165E-2</v>
      </c>
      <c r="L96" s="36">
        <f>L30/'Nominal GDP'!$C30</f>
        <v>9.2649723324029192E-3</v>
      </c>
      <c r="M96" s="36">
        <f>M30/'Nominal GDP'!$C30</f>
        <v>7.8056902208510845E-3</v>
      </c>
      <c r="N96" s="36">
        <f>N30/'Nominal GDP'!$C30</f>
        <v>6.9634200088144558E-3</v>
      </c>
      <c r="O96" s="36">
        <f>O30/'Nominal GDP'!$C30</f>
        <v>7.0515645658880566E-3</v>
      </c>
      <c r="P96" s="36">
        <f>P30/'Nominal GDP'!$C30</f>
        <v>2.8842857842417118E-2</v>
      </c>
      <c r="Q96" s="63"/>
    </row>
    <row r="97" spans="1:17">
      <c r="A97" s="188"/>
      <c r="B97" s="13">
        <v>1998</v>
      </c>
      <c r="C97" s="34"/>
      <c r="D97" s="34">
        <f>D31/'Nominal GDP'!$C31</f>
        <v>0.31435928409253944</v>
      </c>
      <c r="E97" s="34">
        <f>E31/'Nominal GDP'!$C31</f>
        <v>0.36949758257325771</v>
      </c>
      <c r="F97" s="34"/>
      <c r="G97" s="34">
        <f>G31/'Nominal GDP'!$C31</f>
        <v>0.12414406840028454</v>
      </c>
      <c r="H97" s="34">
        <f>H31/'Nominal GDP'!$C31</f>
        <v>5.1097047217827256E-2</v>
      </c>
      <c r="I97" s="34">
        <f>I31/'Nominal GDP'!$C31</f>
        <v>4.9200327875102458E-2</v>
      </c>
      <c r="J97" s="34">
        <f>J31/'Nominal GDP'!$C31</f>
        <v>1.7709068034083762E-2</v>
      </c>
      <c r="K97" s="34">
        <f>K31/'Nominal GDP'!$C31</f>
        <v>1.2667035208448503E-2</v>
      </c>
      <c r="L97" s="34">
        <f>L31/'Nominal GDP'!$C31</f>
        <v>1.0150784422120132E-2</v>
      </c>
      <c r="M97" s="34">
        <f>M31/'Nominal GDP'!$C31</f>
        <v>8.101565031739073E-3</v>
      </c>
      <c r="N97" s="34">
        <f>N31/'Nominal GDP'!$C31</f>
        <v>7.3295335404792317E-3</v>
      </c>
      <c r="O97" s="34">
        <f>O31/'Nominal GDP'!$C31</f>
        <v>8.4828151508797352E-3</v>
      </c>
      <c r="P97" s="34">
        <f>P31/'Nominal GDP'!$C31</f>
        <v>2.5477039211574754E-2</v>
      </c>
      <c r="Q97" s="64"/>
    </row>
    <row r="98" spans="1:17">
      <c r="A98" s="188"/>
      <c r="B98" s="13">
        <v>1999</v>
      </c>
      <c r="C98" s="34"/>
      <c r="D98" s="34">
        <f>D32/'Nominal GDP'!$C32</f>
        <v>0.31367676650311865</v>
      </c>
      <c r="E98" s="34">
        <f>E32/'Nominal GDP'!$C32</f>
        <v>0.36819819058533981</v>
      </c>
      <c r="F98" s="34"/>
      <c r="G98" s="34">
        <f>G32/'Nominal GDP'!$C32</f>
        <v>0.12417807893611066</v>
      </c>
      <c r="H98" s="34">
        <f>H32/'Nominal GDP'!$C32</f>
        <v>5.4299604421605238E-2</v>
      </c>
      <c r="I98" s="34">
        <f>I32/'Nominal GDP'!$C32</f>
        <v>4.9327147029465043E-2</v>
      </c>
      <c r="J98" s="34">
        <f>J32/'Nominal GDP'!$C32</f>
        <v>1.8337091944249324E-2</v>
      </c>
      <c r="K98" s="34">
        <f>K32/'Nominal GDP'!$C32</f>
        <v>1.3697364043033015E-2</v>
      </c>
      <c r="L98" s="34">
        <f>L32/'Nominal GDP'!$C32</f>
        <v>9.4458205478945619E-3</v>
      </c>
      <c r="M98" s="34">
        <f>M32/'Nominal GDP'!$C32</f>
        <v>8.530814447853894E-3</v>
      </c>
      <c r="N98" s="34">
        <f>N32/'Nominal GDP'!$C32</f>
        <v>7.5141410033642648E-3</v>
      </c>
      <c r="O98" s="34">
        <f>O32/'Nominal GDP'!$C32</f>
        <v>6.4697401012976446E-3</v>
      </c>
      <c r="P98" s="34">
        <f>P32/'Nominal GDP'!$C32</f>
        <v>2.1876964028245037E-2</v>
      </c>
      <c r="Q98" s="64"/>
    </row>
    <row r="99" spans="1:17">
      <c r="A99" s="188"/>
      <c r="B99" s="13">
        <v>2000</v>
      </c>
      <c r="C99" s="34"/>
      <c r="D99" s="34">
        <f>D33/'Nominal GDP'!$C33</f>
        <v>0.30374421192169709</v>
      </c>
      <c r="E99" s="34">
        <f>E33/'Nominal GDP'!$C33</f>
        <v>0.3577229672415882</v>
      </c>
      <c r="F99" s="34"/>
      <c r="G99" s="34">
        <f>G33/'Nominal GDP'!$C33</f>
        <v>0.11773116510665486</v>
      </c>
      <c r="H99" s="34">
        <f>H33/'Nominal GDP'!$C33</f>
        <v>5.3600083722877279E-2</v>
      </c>
      <c r="I99" s="34">
        <f>I33/'Nominal GDP'!$C33</f>
        <v>4.9815111979348355E-2</v>
      </c>
      <c r="J99" s="34">
        <f>J33/'Nominal GDP'!$C33</f>
        <v>1.7372497034814763E-2</v>
      </c>
      <c r="K99" s="34">
        <f>K33/'Nominal GDP'!$C33</f>
        <v>1.3160189771855159E-2</v>
      </c>
      <c r="L99" s="34">
        <f>L33/'Nominal GDP'!$C33</f>
        <v>1.0142677736691551E-2</v>
      </c>
      <c r="M99" s="34">
        <f>M33/'Nominal GDP'!$C33</f>
        <v>8.1019326030837922E-3</v>
      </c>
      <c r="N99" s="34">
        <f>N33/'Nominal GDP'!$C33</f>
        <v>7.6833182167027137E-3</v>
      </c>
      <c r="O99" s="34">
        <f>O33/'Nominal GDP'!$C33</f>
        <v>6.9071373752877972E-3</v>
      </c>
      <c r="P99" s="34">
        <f>P33/'Nominal GDP'!$C33</f>
        <v>1.9230098374380798E-2</v>
      </c>
      <c r="Q99" s="64"/>
    </row>
    <row r="100" spans="1:17">
      <c r="A100" s="188"/>
      <c r="B100" s="13" t="s">
        <v>51</v>
      </c>
      <c r="C100" s="34"/>
      <c r="D100" s="34">
        <f>D34/'Nominal GDP'!$C34</f>
        <v>0.2991477622121157</v>
      </c>
      <c r="E100" s="34">
        <f>E34/'Nominal GDP'!$C34</f>
        <v>0.35609504105409995</v>
      </c>
      <c r="F100" s="34"/>
      <c r="G100" s="34">
        <f>G34/'Nominal GDP'!$C34</f>
        <v>0.11277032683501584</v>
      </c>
      <c r="H100" s="34">
        <f>H34/'Nominal GDP'!$C34</f>
        <v>5.4496804654321697E-2</v>
      </c>
      <c r="I100" s="34">
        <f>I34/'Nominal GDP'!$C34</f>
        <v>5.0209068071909599E-2</v>
      </c>
      <c r="J100" s="34">
        <f>J34/'Nominal GDP'!$C34</f>
        <v>1.7576446906528979E-2</v>
      </c>
      <c r="K100" s="34">
        <f>K34/'Nominal GDP'!$C34</f>
        <v>1.2609545941788248E-2</v>
      </c>
      <c r="L100" s="34">
        <f>L34/'Nominal GDP'!$C34</f>
        <v>1.0162917624724857E-2</v>
      </c>
      <c r="M100" s="34">
        <f>M34/'Nominal GDP'!$C34</f>
        <v>7.4053465784025725E-3</v>
      </c>
      <c r="N100" s="34">
        <f>N34/'Nominal GDP'!$C34</f>
        <v>8.4854634274071465E-3</v>
      </c>
      <c r="O100" s="34">
        <f>O34/'Nominal GDP'!$C34</f>
        <v>6.5788935348460422E-3</v>
      </c>
      <c r="P100" s="34">
        <f>P34/'Nominal GDP'!$C34</f>
        <v>1.8852948637170748E-2</v>
      </c>
      <c r="Q100" s="64"/>
    </row>
    <row r="101" spans="1:17">
      <c r="A101" s="188"/>
      <c r="B101" s="13" t="s">
        <v>52</v>
      </c>
      <c r="C101" s="34"/>
      <c r="D101" s="34">
        <f>D35/'Nominal GDP'!$C35</f>
        <v>0.28868582181695751</v>
      </c>
      <c r="E101" s="34">
        <f>E35/'Nominal GDP'!$C35</f>
        <v>0.3632550079985909</v>
      </c>
      <c r="F101" s="34"/>
      <c r="G101" s="34">
        <f>G35/'Nominal GDP'!$C35</f>
        <v>0.10898167461395306</v>
      </c>
      <c r="H101" s="34">
        <f>H35/'Nominal GDP'!$C35</f>
        <v>5.4116035492485164E-2</v>
      </c>
      <c r="I101" s="34">
        <f>I35/'Nominal GDP'!$C35</f>
        <v>4.9814149280838521E-2</v>
      </c>
      <c r="J101" s="34">
        <f>J35/'Nominal GDP'!$C35</f>
        <v>1.4544838890898316E-2</v>
      </c>
      <c r="K101" s="34">
        <f>K35/'Nominal GDP'!$C35</f>
        <v>1.3336616824299886E-2</v>
      </c>
      <c r="L101" s="34">
        <f>L35/'Nominal GDP'!$C35</f>
        <v>8.9423824292189646E-3</v>
      </c>
      <c r="M101" s="34">
        <f>M35/'Nominal GDP'!$C35</f>
        <v>7.6110294513748334E-3</v>
      </c>
      <c r="N101" s="34">
        <f>N35/'Nominal GDP'!$C35</f>
        <v>7.7957258182433835E-3</v>
      </c>
      <c r="O101" s="34">
        <f>O35/'Nominal GDP'!$C35</f>
        <v>7.2439146394957955E-3</v>
      </c>
      <c r="P101" s="34">
        <f>P35/'Nominal GDP'!$C35</f>
        <v>1.6299454376149543E-2</v>
      </c>
      <c r="Q101" s="64"/>
    </row>
    <row r="102" spans="1:17">
      <c r="A102" s="188"/>
      <c r="B102" s="13" t="s">
        <v>53</v>
      </c>
      <c r="C102" s="34"/>
      <c r="D102" s="34">
        <f>D36/'Nominal GDP'!$C36</f>
        <v>0.29084885626324508</v>
      </c>
      <c r="E102" s="34">
        <f>E36/'Nominal GDP'!$C36</f>
        <v>0.37870044116147794</v>
      </c>
      <c r="F102" s="34"/>
      <c r="G102" s="34">
        <f>G36/'Nominal GDP'!$C36</f>
        <v>0.10533088664756894</v>
      </c>
      <c r="H102" s="34">
        <f>H36/'Nominal GDP'!$C36</f>
        <v>5.4681576952236542E-2</v>
      </c>
      <c r="I102" s="34">
        <f>I36/'Nominal GDP'!$C36</f>
        <v>5.1145973056511342E-2</v>
      </c>
      <c r="J102" s="34">
        <f>J36/'Nominal GDP'!$C36</f>
        <v>1.552749752143232E-2</v>
      </c>
      <c r="K102" s="34">
        <f>K36/'Nominal GDP'!$C36</f>
        <v>1.2640695165335045E-2</v>
      </c>
      <c r="L102" s="34">
        <f>L36/'Nominal GDP'!$C36</f>
        <v>8.7405960226278646E-3</v>
      </c>
      <c r="M102" s="34">
        <f>M36/'Nominal GDP'!$C36</f>
        <v>1.0264186155012539E-2</v>
      </c>
      <c r="N102" s="34">
        <f>N36/'Nominal GDP'!$C36</f>
        <v>7.6835598063801245E-3</v>
      </c>
      <c r="O102" s="34">
        <f>O36/'Nominal GDP'!$C36</f>
        <v>7.629709278590989E-3</v>
      </c>
      <c r="P102" s="34">
        <f>P36/'Nominal GDP'!$C36</f>
        <v>1.7204175657549427E-2</v>
      </c>
      <c r="Q102" s="64"/>
    </row>
    <row r="103" spans="1:17">
      <c r="A103" s="188"/>
      <c r="B103" s="13" t="s">
        <v>54</v>
      </c>
      <c r="C103" s="34"/>
      <c r="D103" s="34">
        <f>D37/'Nominal GDP'!$C37</f>
        <v>0.28382186634206563</v>
      </c>
      <c r="E103" s="34">
        <f>E37/'Nominal GDP'!$C37</f>
        <v>0.36059204456860977</v>
      </c>
      <c r="F103" s="34"/>
      <c r="G103" s="34">
        <f>G37/'Nominal GDP'!$C37</f>
        <v>0.10058994820429586</v>
      </c>
      <c r="H103" s="34">
        <f>H37/'Nominal GDP'!$C37</f>
        <v>5.4965608375969914E-2</v>
      </c>
      <c r="I103" s="34">
        <f>I37/'Nominal GDP'!$C37</f>
        <v>5.1401077491275031E-2</v>
      </c>
      <c r="J103" s="34">
        <f>J37/'Nominal GDP'!$C37</f>
        <v>1.4170026767865008E-2</v>
      </c>
      <c r="K103" s="34">
        <f>K37/'Nominal GDP'!$C37</f>
        <v>1.2489411445803544E-2</v>
      </c>
      <c r="L103" s="34">
        <f>L37/'Nominal GDP'!$C37</f>
        <v>8.8842205129942738E-3</v>
      </c>
      <c r="M103" s="34">
        <f>M37/'Nominal GDP'!$C37</f>
        <v>9.90072171585403E-3</v>
      </c>
      <c r="N103" s="34">
        <f>N37/'Nominal GDP'!$C37</f>
        <v>8.0777962253921996E-3</v>
      </c>
      <c r="O103" s="34">
        <f>O37/'Nominal GDP'!$C37</f>
        <v>8.0819842103479981E-3</v>
      </c>
      <c r="P103" s="34">
        <f>P37/'Nominal GDP'!$C37</f>
        <v>1.5261071392267815E-2</v>
      </c>
      <c r="Q103" s="64"/>
    </row>
    <row r="104" spans="1:17">
      <c r="A104" s="186" t="s">
        <v>55</v>
      </c>
      <c r="B104" s="11" t="s">
        <v>56</v>
      </c>
      <c r="C104" s="36"/>
      <c r="D104" s="36">
        <f>D38/'Nominal GDP'!$C38</f>
        <v>0.28481597928611058</v>
      </c>
      <c r="E104" s="36">
        <f>E38/'Nominal GDP'!$C38</f>
        <v>0.36789474691173002</v>
      </c>
      <c r="F104" s="36"/>
      <c r="G104" s="36">
        <f>G38/'Nominal GDP'!$C38</f>
        <v>9.727492458690204E-2</v>
      </c>
      <c r="H104" s="36">
        <f>H38/'Nominal GDP'!$C38</f>
        <v>5.6204281805832798E-2</v>
      </c>
      <c r="I104" s="36">
        <f>I38/'Nominal GDP'!$C38</f>
        <v>5.0573011995943953E-2</v>
      </c>
      <c r="J104" s="36">
        <f>J38/'Nominal GDP'!$C38</f>
        <v>1.637086025139825E-2</v>
      </c>
      <c r="K104" s="36">
        <f>K38/'Nominal GDP'!$C38</f>
        <v>1.2046963387180093E-2</v>
      </c>
      <c r="L104" s="36">
        <f>L38/'Nominal GDP'!$C38</f>
        <v>8.1312219791713162E-3</v>
      </c>
      <c r="M104" s="36">
        <f>M38/'Nominal GDP'!$C38</f>
        <v>1.0427096420349101E-2</v>
      </c>
      <c r="N104" s="36">
        <f>N38/'Nominal GDP'!$C38</f>
        <v>9.2090074807242208E-3</v>
      </c>
      <c r="O104" s="36">
        <f>O38/'Nominal GDP'!$C38</f>
        <v>1.0076337825169162E-2</v>
      </c>
      <c r="P104" s="36">
        <f>P38/'Nominal GDP'!$C38</f>
        <v>1.4502273553439667E-2</v>
      </c>
      <c r="Q104" s="63"/>
    </row>
    <row r="105" spans="1:17">
      <c r="A105" s="187"/>
      <c r="B105" s="13" t="s">
        <v>57</v>
      </c>
      <c r="C105" s="34"/>
      <c r="D105" s="34">
        <f>D39/'Nominal GDP'!$C39</f>
        <v>0.29845010731897142</v>
      </c>
      <c r="E105" s="34">
        <f>E39/'Nominal GDP'!$C39</f>
        <v>0.38733940156752583</v>
      </c>
      <c r="F105" s="34"/>
      <c r="G105" s="34">
        <f>G39/'Nominal GDP'!$C39</f>
        <v>9.8575363455610077E-2</v>
      </c>
      <c r="H105" s="34">
        <f>H39/'Nominal GDP'!$C39</f>
        <v>5.8049530897527103E-2</v>
      </c>
      <c r="I105" s="34">
        <f>I39/'Nominal GDP'!$C39</f>
        <v>6.028103585608921E-2</v>
      </c>
      <c r="J105" s="34">
        <f>J39/'Nominal GDP'!$C39</f>
        <v>1.5243550221022358E-2</v>
      </c>
      <c r="K105" s="34">
        <f>K39/'Nominal GDP'!$C39</f>
        <v>1.3048527632354997E-2</v>
      </c>
      <c r="L105" s="34">
        <f>L39/'Nominal GDP'!$C39</f>
        <v>8.4091862607394985E-3</v>
      </c>
      <c r="M105" s="34">
        <f>M39/'Nominal GDP'!$C39</f>
        <v>1.1054158078108754E-2</v>
      </c>
      <c r="N105" s="34">
        <f>N39/'Nominal GDP'!$C39</f>
        <v>9.6799888120732321E-3</v>
      </c>
      <c r="O105" s="34">
        <f>O39/'Nominal GDP'!$C39</f>
        <v>9.78335552677502E-3</v>
      </c>
      <c r="P105" s="34">
        <f>P39/'Nominal GDP'!$C39</f>
        <v>1.4325410578671191E-2</v>
      </c>
      <c r="Q105" s="64"/>
    </row>
    <row r="106" spans="1:17">
      <c r="A106" s="187"/>
      <c r="B106" s="13" t="s">
        <v>58</v>
      </c>
      <c r="C106" s="34"/>
      <c r="D106" s="34">
        <f>D40/'Nominal GDP'!$C40</f>
        <v>0.30649252923034825</v>
      </c>
      <c r="E106" s="34">
        <f>E40/'Nominal GDP'!$C40</f>
        <v>0.38796125803086362</v>
      </c>
      <c r="F106" s="34"/>
      <c r="G106" s="34">
        <f>G40/'Nominal GDP'!$C40</f>
        <v>9.8428316525764323E-2</v>
      </c>
      <c r="H106" s="34">
        <f>H40/'Nominal GDP'!$C40</f>
        <v>5.9030766687379214E-2</v>
      </c>
      <c r="I106" s="34">
        <f>I40/'Nominal GDP'!$C40</f>
        <v>5.2839804579943792E-2</v>
      </c>
      <c r="J106" s="34">
        <f>J40/'Nominal GDP'!$C40</f>
        <v>2.746028036051238E-2</v>
      </c>
      <c r="K106" s="34">
        <f>K40/'Nominal GDP'!$C40</f>
        <v>1.4856028777142467E-2</v>
      </c>
      <c r="L106" s="34">
        <f>L40/'Nominal GDP'!$C40</f>
        <v>8.6479645644378829E-3</v>
      </c>
      <c r="M106" s="34">
        <f>M40/'Nominal GDP'!$C40</f>
        <v>1.3710187724108838E-2</v>
      </c>
      <c r="N106" s="34">
        <f>N40/'Nominal GDP'!$C40</f>
        <v>9.0926193014360061E-3</v>
      </c>
      <c r="O106" s="34">
        <f>O40/'Nominal GDP'!$C40</f>
        <v>9.1496263189998692E-3</v>
      </c>
      <c r="P106" s="34">
        <f>P40/'Nominal GDP'!$C40</f>
        <v>1.3276934390623486E-2</v>
      </c>
      <c r="Q106" s="64"/>
    </row>
    <row r="107" spans="1:17">
      <c r="A107" s="187"/>
      <c r="B107" s="13" t="s">
        <v>59</v>
      </c>
      <c r="C107" s="34"/>
      <c r="D107" s="34">
        <f>D41/'Nominal GDP'!$C41</f>
        <v>0.30039485941734417</v>
      </c>
      <c r="E107" s="34">
        <f>E41/'Nominal GDP'!$C41</f>
        <v>0.39748475609756095</v>
      </c>
      <c r="F107" s="34"/>
      <c r="G107" s="34">
        <f>G41/'Nominal GDP'!$C41</f>
        <v>9.7497459349593502E-2</v>
      </c>
      <c r="H107" s="34">
        <f>H41/'Nominal GDP'!$C41</f>
        <v>5.9795265921409213E-2</v>
      </c>
      <c r="I107" s="34">
        <f>I41/'Nominal GDP'!$C41</f>
        <v>5.0553650067750679E-2</v>
      </c>
      <c r="J107" s="34">
        <f>J41/'Nominal GDP'!$C41</f>
        <v>1.7842776084010841E-2</v>
      </c>
      <c r="K107" s="34">
        <f>K41/'Nominal GDP'!$C41</f>
        <v>1.4804581639566395E-2</v>
      </c>
      <c r="L107" s="34">
        <f>L41/'Nominal GDP'!$C41</f>
        <v>8.2676998644986444E-3</v>
      </c>
      <c r="M107" s="34">
        <f>M41/'Nominal GDP'!$C41</f>
        <v>1.1877540650406504E-2</v>
      </c>
      <c r="N107" s="34">
        <f>N41/'Nominal GDP'!$C41</f>
        <v>1.5291539634146341E-2</v>
      </c>
      <c r="O107" s="34">
        <f>O41/'Nominal GDP'!$C41</f>
        <v>1.1443512872628726E-2</v>
      </c>
      <c r="P107" s="34">
        <f>P41/'Nominal GDP'!$C41</f>
        <v>1.3020833333333334E-2</v>
      </c>
      <c r="Q107" s="64"/>
    </row>
    <row r="108" spans="1:17">
      <c r="A108" s="187"/>
      <c r="B108" s="13" t="s">
        <v>60</v>
      </c>
      <c r="C108" s="34"/>
      <c r="D108" s="34">
        <f>D42/'Nominal GDP'!$C42</f>
        <v>0.33553826951131521</v>
      </c>
      <c r="E108" s="34">
        <f>E42/'Nominal GDP'!$C42</f>
        <v>0.43497632677996806</v>
      </c>
      <c r="F108" s="34"/>
      <c r="G108" s="34">
        <f>G42/'Nominal GDP'!$C42</f>
        <v>0.10450976158249814</v>
      </c>
      <c r="H108" s="34">
        <f>H42/'Nominal GDP'!$C42</f>
        <v>6.5136904417069999E-2</v>
      </c>
      <c r="I108" s="34">
        <f>I42/'Nominal GDP'!$C42</f>
        <v>6.0328528468429565E-2</v>
      </c>
      <c r="J108" s="34">
        <f>J42/'Nominal GDP'!$C42</f>
        <v>2.7875940740584693E-2</v>
      </c>
      <c r="K108" s="34">
        <f>K42/'Nominal GDP'!$C42</f>
        <v>1.5757569373857812E-2</v>
      </c>
      <c r="L108" s="34">
        <f>L42/'Nominal GDP'!$C42</f>
        <v>9.2533587532981874E-3</v>
      </c>
      <c r="M108" s="34">
        <f>M42/'Nominal GDP'!$C42</f>
        <v>1.4024868730809945E-2</v>
      </c>
      <c r="N108" s="34">
        <f>N42/'Nominal GDP'!$C42</f>
        <v>1.5589039220126714E-2</v>
      </c>
      <c r="O108" s="34">
        <f>O42/'Nominal GDP'!$C42</f>
        <v>1.0269806242988882E-2</v>
      </c>
      <c r="P108" s="34">
        <f>P42/'Nominal GDP'!$C42</f>
        <v>1.2792491981651279E-2</v>
      </c>
      <c r="Q108" s="64"/>
    </row>
    <row r="109" spans="1:17">
      <c r="A109" s="187"/>
      <c r="B109" s="13" t="s">
        <v>61</v>
      </c>
      <c r="C109" s="34"/>
      <c r="D109" s="34">
        <f>D43/'Nominal GDP'!$C43</f>
        <v>0.32203046302583177</v>
      </c>
      <c r="E109" s="34">
        <f>E43/'Nominal GDP'!$C43</f>
        <v>0.40560616962412721</v>
      </c>
      <c r="F109" s="34"/>
      <c r="G109" s="34">
        <f>G43/'Nominal GDP'!$C43</f>
        <v>0.10712729410095564</v>
      </c>
      <c r="H109" s="34">
        <f>H43/'Nominal GDP'!$C43</f>
        <v>6.6520060399079831E-2</v>
      </c>
      <c r="I109" s="34">
        <f>I43/'Nominal GDP'!$C43</f>
        <v>5.9405940594059403E-2</v>
      </c>
      <c r="J109" s="34">
        <f>J43/'Nominal GDP'!$C43</f>
        <v>1.5069367735135846E-2</v>
      </c>
      <c r="K109" s="34">
        <f>K43/'Nominal GDP'!$C43</f>
        <v>1.5723015494998833E-2</v>
      </c>
      <c r="L109" s="34">
        <f>L43/'Nominal GDP'!$C43</f>
        <v>9.1916049332671241E-3</v>
      </c>
      <c r="M109" s="34">
        <f>M43/'Nominal GDP'!$C43</f>
        <v>1.1882201526191514E-2</v>
      </c>
      <c r="N109" s="34">
        <f>N43/'Nominal GDP'!$C43</f>
        <v>1.4218105536244516E-2</v>
      </c>
      <c r="O109" s="34">
        <f>O43/'Nominal GDP'!$C43</f>
        <v>1.1182950434245062E-2</v>
      </c>
      <c r="P109" s="34">
        <f>P43/'Nominal GDP'!$C43</f>
        <v>1.1709922271653982E-2</v>
      </c>
      <c r="Q109" s="64"/>
    </row>
    <row r="110" spans="1:17" ht="12.75" customHeight="1">
      <c r="A110" s="187"/>
      <c r="B110" s="13" t="s">
        <v>62</v>
      </c>
      <c r="C110" s="34"/>
      <c r="D110" s="34">
        <f>D44/'Nominal GDP'!$C44</f>
        <v>0.34009324800962559</v>
      </c>
      <c r="E110" s="34">
        <f>E44/'Nominal GDP'!$C44</f>
        <v>0.48051834637608737</v>
      </c>
      <c r="F110" s="34"/>
      <c r="G110" s="34">
        <f>G44/'Nominal GDP'!$C44</f>
        <v>0.10687619167754236</v>
      </c>
      <c r="H110" s="34">
        <f>H44/'Nominal GDP'!$C44</f>
        <v>6.6724239145727907E-2</v>
      </c>
      <c r="I110" s="34">
        <f>I44/'Nominal GDP'!$C44</f>
        <v>5.6521296157037021E-2</v>
      </c>
      <c r="J110" s="34">
        <f>J44/'Nominal GDP'!$C44</f>
        <v>2.6989525366660681E-2</v>
      </c>
      <c r="K110" s="34">
        <f>K44/'Nominal GDP'!$C44</f>
        <v>1.606854359417224E-2</v>
      </c>
      <c r="L110" s="34">
        <f>L44/'Nominal GDP'!$C44</f>
        <v>8.776568647903861E-3</v>
      </c>
      <c r="M110" s="34">
        <f>M44/'Nominal GDP'!$C44</f>
        <v>1.1066530174609566E-2</v>
      </c>
      <c r="N110" s="34">
        <f>N44/'Nominal GDP'!$C44</f>
        <v>1.2332801273063358E-2</v>
      </c>
      <c r="O110" s="34">
        <f>O44/'Nominal GDP'!$C44</f>
        <v>1.9862505276129577E-2</v>
      </c>
      <c r="P110" s="34">
        <f>P44/'Nominal GDP'!$C44</f>
        <v>1.4875046696779014E-2</v>
      </c>
      <c r="Q110" s="64"/>
    </row>
    <row r="111" spans="1:17" ht="12.75" customHeight="1">
      <c r="A111" s="187"/>
      <c r="B111" s="13" t="s">
        <v>63</v>
      </c>
      <c r="C111" s="34"/>
      <c r="D111" s="34">
        <f>D45/'Nominal GDP'!$C45</f>
        <v>0.3203589336084352</v>
      </c>
      <c r="E111" s="34">
        <f>E45/'Nominal GDP'!$C45</f>
        <v>0.42747208319973234</v>
      </c>
      <c r="F111" s="34"/>
      <c r="G111" s="34">
        <f>G45/'Nominal GDP'!$C45</f>
        <v>0.10292156343375482</v>
      </c>
      <c r="H111" s="34">
        <f>H45/'Nominal GDP'!$C45</f>
        <v>6.5801396885586422E-2</v>
      </c>
      <c r="I111" s="34">
        <f>I45/'Nominal GDP'!$C45</f>
        <v>5.4156036674055386E-2</v>
      </c>
      <c r="J111" s="34">
        <f>J45/'Nominal GDP'!$C45</f>
        <v>2.5223868806141463E-2</v>
      </c>
      <c r="K111" s="34">
        <f>K45/'Nominal GDP'!$C45</f>
        <v>1.5511656977689794E-2</v>
      </c>
      <c r="L111" s="34">
        <f>L45/'Nominal GDP'!$C45</f>
        <v>8.0671769063120086E-3</v>
      </c>
      <c r="M111" s="34">
        <f>M45/'Nominal GDP'!$C45</f>
        <v>1.0372084593829725E-2</v>
      </c>
      <c r="N111" s="34">
        <f>N45/'Nominal GDP'!$C45</f>
        <v>9.6332129762585206E-3</v>
      </c>
      <c r="O111" s="34">
        <f>O45/'Nominal GDP'!$C45</f>
        <v>1.2356349881269373E-2</v>
      </c>
      <c r="P111" s="34">
        <f>P45/'Nominal GDP'!$C45</f>
        <v>1.6315586473537709E-2</v>
      </c>
      <c r="Q111" s="64"/>
    </row>
    <row r="112" spans="1:17" ht="12.75" customHeight="1">
      <c r="A112" s="187"/>
      <c r="B112" s="13" t="s">
        <v>64</v>
      </c>
      <c r="C112" s="34"/>
      <c r="D112" s="34">
        <f>D46/'Nominal GDP'!$C46</f>
        <v>0.31919446307423477</v>
      </c>
      <c r="E112" s="34">
        <f>E46/'Nominal GDP'!$C46</f>
        <v>0.41075265873721956</v>
      </c>
      <c r="F112" s="34"/>
      <c r="G112" s="34">
        <f>G46/'Nominal GDP'!$C46</f>
        <v>0.10373523494066601</v>
      </c>
      <c r="H112" s="34">
        <f>H46/'Nominal GDP'!$C46</f>
        <v>6.614564085718326E-2</v>
      </c>
      <c r="I112" s="34">
        <f>I46/'Nominal GDP'!$C46</f>
        <v>5.7048219980564183E-2</v>
      </c>
      <c r="J112" s="34">
        <f>J46/'Nominal GDP'!$C46</f>
        <v>1.9590935428386327E-2</v>
      </c>
      <c r="K112" s="34">
        <f>K46/'Nominal GDP'!$C46</f>
        <v>1.5484777560303491E-2</v>
      </c>
      <c r="L112" s="34">
        <f>L46/'Nominal GDP'!$C46</f>
        <v>8.2305653266904824E-3</v>
      </c>
      <c r="M112" s="34">
        <f>M46/'Nominal GDP'!$C46</f>
        <v>1.0288206658363103E-2</v>
      </c>
      <c r="N112" s="34">
        <f>N46/'Nominal GDP'!$C46</f>
        <v>9.0244225145198302E-3</v>
      </c>
      <c r="O112" s="34">
        <f>O46/'Nominal GDP'!$C46</f>
        <v>1.3135142780233868E-2</v>
      </c>
      <c r="P112" s="34">
        <f>P46/'Nominal GDP'!$C46</f>
        <v>1.65113170273242E-2</v>
      </c>
      <c r="Q112" s="64"/>
    </row>
    <row r="113" spans="1:17" ht="12.75" customHeight="1">
      <c r="A113" s="187"/>
      <c r="B113" s="13" t="s">
        <v>65</v>
      </c>
      <c r="C113" s="163"/>
      <c r="D113" s="163">
        <f>D47/'Nominal GDP'!$C47</f>
        <v>0.3001501298876556</v>
      </c>
      <c r="E113" s="163">
        <f>E47/'Nominal GDP'!$C47</f>
        <v>0.38451384906042307</v>
      </c>
      <c r="F113" s="163"/>
      <c r="G113" s="163">
        <f>G47/'Nominal GDP'!$C47</f>
        <v>9.8292905097668776E-2</v>
      </c>
      <c r="H113" s="163">
        <f>H47/'Nominal GDP'!$C47</f>
        <v>6.2826827704868263E-2</v>
      </c>
      <c r="I113" s="163">
        <f>I47/'Nominal GDP'!$C47</f>
        <v>5.1870719611349148E-2</v>
      </c>
      <c r="J113" s="163">
        <f>J47/'Nominal GDP'!$C47</f>
        <v>1.898552680408893E-2</v>
      </c>
      <c r="K113" s="163">
        <f>K47/'Nominal GDP'!$C47</f>
        <v>1.4603926993016429E-2</v>
      </c>
      <c r="L113" s="163">
        <f>L47/'Nominal GDP'!$C47</f>
        <v>7.6372254647279108E-3</v>
      </c>
      <c r="M113" s="163">
        <f>M47/'Nominal GDP'!$C47</f>
        <v>9.4337235585843938E-3</v>
      </c>
      <c r="N113" s="163">
        <f>N47/'Nominal GDP'!$C47</f>
        <v>8.6788569886306136E-3</v>
      </c>
      <c r="O113" s="163">
        <f>O47/'Nominal GDP'!$C47</f>
        <v>1.2554400998616782E-2</v>
      </c>
      <c r="P113" s="163">
        <f>P47/'Nominal GDP'!$C47</f>
        <v>1.5266016666104382E-2</v>
      </c>
      <c r="Q113" s="164"/>
    </row>
    <row r="114" spans="1:17" ht="12.75" customHeight="1">
      <c r="A114" s="187"/>
      <c r="B114" s="13" t="s">
        <v>66</v>
      </c>
      <c r="C114" s="163"/>
      <c r="D114" s="163">
        <f>D48/'Nominal GDP'!$C48</f>
        <v>0.29431047736026322</v>
      </c>
      <c r="E114" s="163">
        <f>E48/'Nominal GDP'!$C48</f>
        <v>0.37850434980660747</v>
      </c>
      <c r="F114" s="163"/>
      <c r="G114" s="163">
        <f>G48/'Nominal GDP'!$C48</f>
        <v>9.7127378768713926E-2</v>
      </c>
      <c r="H114" s="163">
        <f>H48/'Nominal GDP'!$C48</f>
        <v>6.1242999434667489E-2</v>
      </c>
      <c r="I114" s="163">
        <f>I48/'Nominal GDP'!$C48</f>
        <v>5.23807006055972E-2</v>
      </c>
      <c r="J114" s="163">
        <f>J48/'Nominal GDP'!$C48</f>
        <v>1.6813558219080583E-2</v>
      </c>
      <c r="K114" s="163">
        <f>K48/'Nominal GDP'!$C48</f>
        <v>1.4295998340606736E-2</v>
      </c>
      <c r="L114" s="163">
        <f>L48/'Nominal GDP'!$C48</f>
        <v>7.9756622321279693E-3</v>
      </c>
      <c r="M114" s="163">
        <f>M48/'Nominal GDP'!$C48</f>
        <v>9.3178185486002939E-3</v>
      </c>
      <c r="N114" s="163">
        <f>N48/'Nominal GDP'!$C48</f>
        <v>9.0615887063646688E-3</v>
      </c>
      <c r="O114" s="163">
        <f>O48/'Nominal GDP'!$C48</f>
        <v>1.0708780549307977E-2</v>
      </c>
      <c r="P114" s="163">
        <f>P48/'Nominal GDP'!$C48</f>
        <v>1.5385991955196382E-2</v>
      </c>
      <c r="Q114" s="164"/>
    </row>
    <row r="115" spans="1:17" ht="12.75" customHeight="1">
      <c r="A115" s="187"/>
      <c r="B115" s="13" t="s">
        <v>67</v>
      </c>
      <c r="C115" s="163"/>
      <c r="D115" s="163">
        <f>D49/'Nominal GDP'!$C49</f>
        <v>0.28553827376975099</v>
      </c>
      <c r="E115" s="163">
        <f>E49/'Nominal GDP'!$C49</f>
        <v>0.36745059112977047</v>
      </c>
      <c r="F115" s="163"/>
      <c r="G115" s="163">
        <f>G49/'Nominal GDP'!$C49</f>
        <v>9.4055486248170214E-2</v>
      </c>
      <c r="H115" s="163">
        <f>H49/'Nominal GDP'!$C49</f>
        <v>6.0352785320052067E-2</v>
      </c>
      <c r="I115" s="163">
        <f>I49/'Nominal GDP'!$C49</f>
        <v>5.0820552236096571E-2</v>
      </c>
      <c r="J115" s="163">
        <f>J49/'Nominal GDP'!$C49</f>
        <v>1.5843282054451142E-2</v>
      </c>
      <c r="K115" s="163">
        <f>K49/'Nominal GDP'!$C49</f>
        <v>1.4089783748083319E-2</v>
      </c>
      <c r="L115" s="163">
        <f>L49/'Nominal GDP'!$C49</f>
        <v>7.8250827504432029E-3</v>
      </c>
      <c r="M115" s="163">
        <f>M49/'Nominal GDP'!$C49</f>
        <v>8.412157073280007E-3</v>
      </c>
      <c r="N115" s="163">
        <f>N49/'Nominal GDP'!$C49</f>
        <v>8.1379315672180791E-3</v>
      </c>
      <c r="O115" s="163">
        <f>O49/'Nominal GDP'!$C49</f>
        <v>1.2135444226008166E-2</v>
      </c>
      <c r="P115" s="163">
        <f>P49/'Nominal GDP'!$C49</f>
        <v>1.3865768545948221E-2</v>
      </c>
      <c r="Q115" s="164"/>
    </row>
    <row r="116" spans="1:17" ht="12.75" customHeight="1">
      <c r="A116" s="187"/>
      <c r="B116" s="13" t="s">
        <v>68</v>
      </c>
      <c r="C116" s="163"/>
      <c r="D116" s="163">
        <f>D50/'Nominal GDP'!$C50</f>
        <v>0.27682628324841801</v>
      </c>
      <c r="E116" s="163">
        <f>E50/'Nominal GDP'!$C50</f>
        <v>0.35902670752270954</v>
      </c>
      <c r="F116" s="163"/>
      <c r="G116" s="163">
        <f>G50/'Nominal GDP'!$C50</f>
        <v>9.250992693053868E-2</v>
      </c>
      <c r="H116" s="163">
        <f>H50/'Nominal GDP'!$C50</f>
        <v>5.8829075480934856E-2</v>
      </c>
      <c r="I116" s="163">
        <f>I50/'Nominal GDP'!$C50</f>
        <v>4.8160571501096948E-2</v>
      </c>
      <c r="J116" s="163">
        <f>J50/'Nominal GDP'!$C50</f>
        <v>1.4349174115641941E-2</v>
      </c>
      <c r="K116" s="163">
        <f>K50/'Nominal GDP'!$C50</f>
        <v>1.4077203415951988E-2</v>
      </c>
      <c r="L116" s="163">
        <f>L50/'Nominal GDP'!$C50</f>
        <v>7.7819882871285337E-3</v>
      </c>
      <c r="M116" s="163">
        <f>M50/'Nominal GDP'!$C50</f>
        <v>7.8907765670045149E-3</v>
      </c>
      <c r="N116" s="163">
        <f>N50/'Nominal GDP'!$C50</f>
        <v>9.2252461334832187E-3</v>
      </c>
      <c r="O116" s="163">
        <f>O50/'Nominal GDP'!$C50</f>
        <v>1.118706144724675E-2</v>
      </c>
      <c r="P116" s="163">
        <f>P50/'Nominal GDP'!$C50</f>
        <v>1.2815259369390604E-2</v>
      </c>
      <c r="Q116" s="164"/>
    </row>
    <row r="117" spans="1:17" ht="12.75" customHeight="1">
      <c r="A117" s="187"/>
      <c r="B117" s="13" t="s">
        <v>69</v>
      </c>
      <c r="C117" s="163"/>
      <c r="D117" s="163">
        <f>D51/'Nominal GDP'!$C51</f>
        <v>0.27259471766540705</v>
      </c>
      <c r="E117" s="163">
        <f>E51/'Nominal GDP'!$C51</f>
        <v>0.35188724884890843</v>
      </c>
      <c r="F117" s="163"/>
      <c r="G117" s="163">
        <f>G51/'Nominal GDP'!$C51</f>
        <v>8.8464049744746934E-2</v>
      </c>
      <c r="H117" s="163">
        <f>H51/'Nominal GDP'!$C51</f>
        <v>5.8050198079089545E-2</v>
      </c>
      <c r="I117" s="163">
        <f>I51/'Nominal GDP'!$C51</f>
        <v>4.6107940417268574E-2</v>
      </c>
      <c r="J117" s="163">
        <f>J51/'Nominal GDP'!$C51</f>
        <v>1.5798964102182421E-2</v>
      </c>
      <c r="K117" s="163">
        <f>K51/'Nominal GDP'!$C51</f>
        <v>1.4154789251291489E-2</v>
      </c>
      <c r="L117" s="163">
        <f>L51/'Nominal GDP'!$C51</f>
        <v>7.6153036818014204E-3</v>
      </c>
      <c r="M117" s="163">
        <f>M51/'Nominal GDP'!$C51</f>
        <v>8.6572910358639864E-3</v>
      </c>
      <c r="N117" s="163">
        <f>N51/'Nominal GDP'!$C51</f>
        <v>9.2425631535679609E-3</v>
      </c>
      <c r="O117" s="163">
        <f>O51/'Nominal GDP'!$C51</f>
        <v>1.2673002039994722E-2</v>
      </c>
      <c r="P117" s="163">
        <f>P51/'Nominal GDP'!$C51</f>
        <v>1.1830616159599985E-2</v>
      </c>
      <c r="Q117" s="164"/>
    </row>
    <row r="118" spans="1:17" ht="12.75" customHeight="1">
      <c r="A118" s="187"/>
      <c r="B118" s="85" t="s">
        <v>70</v>
      </c>
      <c r="C118" s="163"/>
      <c r="D118" s="163">
        <f>D52/'Nominal GDP'!$C52</f>
        <v>0.28022093109437585</v>
      </c>
      <c r="E118" s="163">
        <f>E52/'Nominal GDP'!$C52</f>
        <v>0.35890346509926752</v>
      </c>
      <c r="F118" s="163"/>
      <c r="G118" s="163">
        <f>G52/'Nominal GDP'!$C52</f>
        <v>9.2825862085633357E-2</v>
      </c>
      <c r="H118" s="163">
        <f>H52/'Nominal GDP'!$C52</f>
        <v>5.8867695916835043E-2</v>
      </c>
      <c r="I118" s="163">
        <f>I52/'Nominal GDP'!$C52</f>
        <v>4.6058461667359496E-2</v>
      </c>
      <c r="J118" s="163">
        <f>J52/'Nominal GDP'!$C52</f>
        <v>1.664717085101652E-2</v>
      </c>
      <c r="K118" s="163">
        <f>K52/'Nominal GDP'!$C52</f>
        <v>1.490382601354073E-2</v>
      </c>
      <c r="L118" s="163">
        <f>L52/'Nominal GDP'!$C52</f>
        <v>7.7177650383632541E-3</v>
      </c>
      <c r="M118" s="163">
        <f>M52/'Nominal GDP'!$C52</f>
        <v>9.3096547790527933E-3</v>
      </c>
      <c r="N118" s="163">
        <f>N52/'Nominal GDP'!$C52</f>
        <v>9.6866812965845268E-3</v>
      </c>
      <c r="O118" s="163">
        <f>O52/'Nominal GDP'!$C52</f>
        <v>1.2309754674967695E-2</v>
      </c>
      <c r="P118" s="163">
        <f>P52/'Nominal GDP'!$C52</f>
        <v>1.1894058771022452E-2</v>
      </c>
      <c r="Q118" s="164"/>
    </row>
    <row r="119" spans="1:17" ht="12.75" customHeight="1">
      <c r="A119" s="187"/>
      <c r="B119" s="85" t="s">
        <v>71</v>
      </c>
      <c r="C119" s="163"/>
      <c r="D119" s="163">
        <f>D53/'Nominal GDP'!$C53</f>
        <v>0.34263118790061581</v>
      </c>
      <c r="E119" s="163">
        <f>E53/'Nominal GDP'!$C53</f>
        <v>0.43734337417673058</v>
      </c>
      <c r="F119" s="163"/>
      <c r="G119" s="163">
        <f>G53/'Nominal GDP'!$C53</f>
        <v>0.13861149240010578</v>
      </c>
      <c r="H119" s="163">
        <f>H53/'Nominal GDP'!$C53</f>
        <v>6.2621994987973661E-2</v>
      </c>
      <c r="I119" s="163">
        <f>I53/'Nominal GDP'!$C53</f>
        <v>5.1385863063380728E-2</v>
      </c>
      <c r="J119" s="163">
        <f>J53/'Nominal GDP'!$C53</f>
        <v>1.9150851918548276E-2</v>
      </c>
      <c r="K119" s="163">
        <f>K53/'Nominal GDP'!$C53</f>
        <v>1.5461093830674105E-2</v>
      </c>
      <c r="L119" s="163">
        <f>L53/'Nominal GDP'!$C53</f>
        <v>7.867496127642962E-3</v>
      </c>
      <c r="M119" s="163">
        <f>M53/'Nominal GDP'!$C53</f>
        <v>1.000831140047098E-2</v>
      </c>
      <c r="N119" s="163">
        <f>N53/'Nominal GDP'!$C53</f>
        <v>1.2555251923585488E-2</v>
      </c>
      <c r="O119" s="163">
        <f>O53/'Nominal GDP'!$C53</f>
        <v>1.4806256217809064E-2</v>
      </c>
      <c r="P119" s="163">
        <f>P53/'Nominal GDP'!$C53</f>
        <v>1.0162576030424763E-2</v>
      </c>
      <c r="Q119" s="164"/>
    </row>
    <row r="120" spans="1:17" ht="12.75" customHeight="1">
      <c r="A120" s="187"/>
      <c r="B120" s="85">
        <v>2021</v>
      </c>
      <c r="C120" s="163"/>
      <c r="D120" s="163">
        <f>D54/'Nominal GDP'!$C54</f>
        <v>0.31392174969340164</v>
      </c>
      <c r="E120" s="163">
        <f>E54/'Nominal GDP'!$C54</f>
        <v>0.38953866052207653</v>
      </c>
      <c r="F120" s="163"/>
      <c r="G120" s="163">
        <f>G54/'Nominal GDP'!$C54</f>
        <v>0.10708074678909238</v>
      </c>
      <c r="H120" s="163">
        <f>H54/'Nominal GDP'!$C54</f>
        <v>6.6370895150648299E-2</v>
      </c>
      <c r="I120" s="163">
        <f>I54/'Nominal GDP'!$C54</f>
        <v>4.6722383572737364E-2</v>
      </c>
      <c r="J120" s="163">
        <f>J54/'Nominal GDP'!$C54</f>
        <v>1.6761680595893183E-2</v>
      </c>
      <c r="K120" s="163">
        <f>K54/'Nominal GDP'!$C54</f>
        <v>1.5153677869279866E-2</v>
      </c>
      <c r="L120" s="163">
        <f>L54/'Nominal GDP'!$C54</f>
        <v>7.7603609849599313E-3</v>
      </c>
      <c r="M120" s="163">
        <f>M54/'Nominal GDP'!$C54</f>
        <v>1.6476201850950965E-2</v>
      </c>
      <c r="N120" s="163">
        <f>N54/'Nominal GDP'!$C54</f>
        <v>1.3053369960062107E-2</v>
      </c>
      <c r="O120" s="163">
        <f>O54/'Nominal GDP'!$C54</f>
        <v>1.8955206054479833E-2</v>
      </c>
      <c r="P120" s="163">
        <f>P54/'Nominal GDP'!$C54</f>
        <v>5.5872268652977283E-3</v>
      </c>
      <c r="Q120" s="164"/>
    </row>
    <row r="121" spans="1:17" ht="12.75" customHeight="1">
      <c r="A121" s="187"/>
      <c r="B121" s="85">
        <v>2022</v>
      </c>
      <c r="C121" s="163"/>
      <c r="D121" s="163">
        <f>D55/'Nominal GDP'!$C55</f>
        <v>0.34352357672895101</v>
      </c>
      <c r="E121" s="163">
        <f>E55/'Nominal GDP'!$C55</f>
        <v>0.4127390346200327</v>
      </c>
      <c r="F121" s="163"/>
      <c r="G121" s="163">
        <f>G55/'Nominal GDP'!$C55</f>
        <v>0.11744344373902915</v>
      </c>
      <c r="H121" s="163">
        <f>H55/'Nominal GDP'!$C55</f>
        <v>7.5957915689201683E-2</v>
      </c>
      <c r="I121" s="163">
        <f>I55/'Nominal GDP'!$C55</f>
        <v>4.9277906283664442E-2</v>
      </c>
      <c r="J121" s="163">
        <f>J55/'Nominal GDP'!$C55</f>
        <v>1.5639439823700859E-2</v>
      </c>
      <c r="K121" s="163">
        <f>K55/'Nominal GDP'!$C55</f>
        <v>1.4884809510529281E-2</v>
      </c>
      <c r="L121" s="163">
        <f>L55/'Nominal GDP'!$C55</f>
        <v>7.7431632134127336E-3</v>
      </c>
      <c r="M121" s="163">
        <f>M55/'Nominal GDP'!$C55</f>
        <v>1.2733019450869739E-2</v>
      </c>
      <c r="N121" s="163">
        <f>N55/'Nominal GDP'!$C55</f>
        <v>2.2086607499275445E-2</v>
      </c>
      <c r="O121" s="163">
        <f>O55/'Nominal GDP'!$C55</f>
        <v>1.9871931580184941E-2</v>
      </c>
      <c r="P121" s="163">
        <f>P55/'Nominal GDP'!$C55</f>
        <v>7.885339939082742E-3</v>
      </c>
      <c r="Q121" s="164"/>
    </row>
    <row r="122" spans="1:17" ht="12.75" customHeight="1">
      <c r="A122" s="187"/>
      <c r="B122" s="85">
        <v>2023</v>
      </c>
      <c r="C122" s="163"/>
      <c r="D122" s="163">
        <f>D56/'Nominal GDP'!$C56</f>
        <v>0.31763112423501527</v>
      </c>
      <c r="E122" s="163">
        <f>E56/'Nominal GDP'!$C56</f>
        <v>0.40290109102135735</v>
      </c>
      <c r="F122" s="163"/>
      <c r="G122" s="163">
        <f>G56/'Nominal GDP'!$C56</f>
        <v>0.10351258085558782</v>
      </c>
      <c r="H122" s="163">
        <f>H56/'Nominal GDP'!$C56</f>
        <v>7.0931326903062933E-2</v>
      </c>
      <c r="I122" s="163">
        <f>I56/'Nominal GDP'!$C56</f>
        <v>4.5819411316545579E-2</v>
      </c>
      <c r="J122" s="163">
        <f>J56/'Nominal GDP'!$C56</f>
        <v>1.6945438973015769E-2</v>
      </c>
      <c r="K122" s="163">
        <f>K56/'Nominal GDP'!$C56</f>
        <v>1.5349490342145493E-2</v>
      </c>
      <c r="L122" s="163">
        <f>L56/'Nominal GDP'!$C56</f>
        <v>7.185503508099253E-3</v>
      </c>
      <c r="M122" s="163">
        <f>M56/'Nominal GDP'!$C56</f>
        <v>1.3624073179597752E-2</v>
      </c>
      <c r="N122" s="163">
        <f>N56/'Nominal GDP'!$C56</f>
        <v>9.1872861901892734E-3</v>
      </c>
      <c r="O122" s="163">
        <f>O56/'Nominal GDP'!$C56</f>
        <v>1.8720651724670228E-2</v>
      </c>
      <c r="P122" s="163">
        <f>P56/'Nominal GDP'!$C56</f>
        <v>1.6355361242101175E-2</v>
      </c>
      <c r="Q122" s="164"/>
    </row>
    <row r="123" spans="1:17" ht="12.75" customHeight="1">
      <c r="A123" s="187"/>
      <c r="B123" s="85">
        <v>2024</v>
      </c>
      <c r="C123" s="163"/>
      <c r="D123" s="163">
        <f>D57/'Nominal GDP'!$C57</f>
        <v>0.3308412772085163</v>
      </c>
      <c r="E123" s="163">
        <f>E57/'Nominal GDP'!$C57</f>
        <v>0.4285789091601509</v>
      </c>
      <c r="F123" s="163"/>
      <c r="G123" s="163">
        <f>G57/'Nominal GDP'!$C57</f>
        <v>0.1062944053697026</v>
      </c>
      <c r="H123" s="163">
        <f>H57/'Nominal GDP'!$C57</f>
        <v>7.1403239434943533E-2</v>
      </c>
      <c r="I123" s="163">
        <f>I57/'Nominal GDP'!$C57</f>
        <v>4.8134528187368346E-2</v>
      </c>
      <c r="J123" s="163">
        <f>J57/'Nominal GDP'!$C57</f>
        <v>2.0155426232044461E-2</v>
      </c>
      <c r="K123" s="163">
        <f>K57/'Nominal GDP'!$C57</f>
        <v>1.5535482642483963E-2</v>
      </c>
      <c r="L123" s="163">
        <f>L57/'Nominal GDP'!$C57</f>
        <v>7.5285324955073965E-3</v>
      </c>
      <c r="M123" s="163">
        <f>M57/'Nominal GDP'!$C57</f>
        <v>1.3060087828912135E-2</v>
      </c>
      <c r="N123" s="163">
        <f>N57/'Nominal GDP'!$C57</f>
        <v>9.5445511561759906E-3</v>
      </c>
      <c r="O123" s="163">
        <f>O57/'Nominal GDP'!$C57</f>
        <v>1.7899008651980911E-2</v>
      </c>
      <c r="P123" s="163">
        <f>P57/'Nominal GDP'!$C57</f>
        <v>2.1286015209396981E-2</v>
      </c>
      <c r="Q123" s="164"/>
    </row>
    <row r="124" spans="1:17" ht="12.75" customHeight="1">
      <c r="A124" s="187"/>
      <c r="B124" s="121">
        <v>2025</v>
      </c>
      <c r="C124" s="165"/>
      <c r="D124" s="166">
        <f>D58/'Nominal GDP'!$C58</f>
        <v>0.32486591470363652</v>
      </c>
      <c r="E124" s="166">
        <f>E58/'Nominal GDP'!$C58</f>
        <v>0.42077674310885271</v>
      </c>
      <c r="F124" s="166"/>
      <c r="G124" s="166">
        <f>G58/'Nominal GDP'!$C58</f>
        <v>0.10907514967794306</v>
      </c>
      <c r="H124" s="166">
        <f>H58/'Nominal GDP'!$C58</f>
        <v>6.9504222626306164E-2</v>
      </c>
      <c r="I124" s="166">
        <f>I58/'Nominal GDP'!$C58</f>
        <v>4.791299303146275E-2</v>
      </c>
      <c r="J124" s="166">
        <f>J58/'Nominal GDP'!$C58</f>
        <v>1.8133330887427971E-2</v>
      </c>
      <c r="K124" s="166">
        <f>K58/'Nominal GDP'!$C58</f>
        <v>1.5441306296906923E-2</v>
      </c>
      <c r="L124" s="166">
        <f>L58/'Nominal GDP'!$C58</f>
        <v>7.5005216657532741E-3</v>
      </c>
      <c r="M124" s="166">
        <f>M58/'Nominal GDP'!$C58</f>
        <v>1.2547494513910705E-2</v>
      </c>
      <c r="N124" s="166">
        <f>N58/'Nominal GDP'!$C58</f>
        <v>8.0577294813381235E-3</v>
      </c>
      <c r="O124" s="166">
        <f>O58/'Nominal GDP'!$C58</f>
        <v>1.6372279025826466E-2</v>
      </c>
      <c r="P124" s="166">
        <f>P58/'Nominal GDP'!$C58</f>
        <v>2.0320887496761086E-2</v>
      </c>
      <c r="Q124" s="167"/>
    </row>
    <row r="125" spans="1:17">
      <c r="B125" s="2"/>
      <c r="D125" s="163"/>
      <c r="E125" s="163"/>
      <c r="F125" s="163"/>
      <c r="G125" s="163"/>
      <c r="H125" s="163"/>
      <c r="I125" s="163"/>
      <c r="J125" s="163"/>
      <c r="K125" s="163"/>
      <c r="L125" s="163"/>
      <c r="M125" s="163"/>
      <c r="N125" s="163"/>
      <c r="O125" s="163"/>
      <c r="P125" s="163"/>
    </row>
    <row r="126" spans="1:17">
      <c r="A126" s="105" t="s">
        <v>72</v>
      </c>
      <c r="B126" s="2"/>
    </row>
    <row r="127" spans="1:17">
      <c r="A127" s="105" t="s">
        <v>73</v>
      </c>
      <c r="B127" s="2"/>
    </row>
    <row r="128" spans="1:17">
      <c r="A128" s="105" t="s">
        <v>74</v>
      </c>
      <c r="B128" s="35" t="s">
        <v>75</v>
      </c>
    </row>
    <row r="129" spans="1:2">
      <c r="A129" s="105" t="s">
        <v>77</v>
      </c>
      <c r="B129" s="2"/>
    </row>
    <row r="130" spans="1:2" ht="14.25">
      <c r="A130" s="77" t="s">
        <v>78</v>
      </c>
      <c r="B130" s="2"/>
    </row>
    <row r="131" spans="1:2">
      <c r="B131" s="2"/>
    </row>
    <row r="132" spans="1:2">
      <c r="B132" s="2"/>
    </row>
    <row r="133" spans="1:2">
      <c r="B133" s="2"/>
    </row>
    <row r="134" spans="1:2">
      <c r="B134" s="2"/>
    </row>
    <row r="135" spans="1:2">
      <c r="B135" s="2"/>
    </row>
    <row r="136" spans="1:2">
      <c r="B136" s="2"/>
    </row>
    <row r="137" spans="1:2">
      <c r="B137" s="2"/>
    </row>
    <row r="138" spans="1:2">
      <c r="B138" s="2"/>
    </row>
    <row r="139" spans="1:2">
      <c r="B139" s="2"/>
    </row>
    <row r="140" spans="1:2">
      <c r="B140" s="2"/>
    </row>
    <row r="141" spans="1:2">
      <c r="B141" s="2"/>
    </row>
    <row r="142" spans="1:2">
      <c r="B142" s="2"/>
    </row>
    <row r="143" spans="1:2">
      <c r="B143" s="2"/>
    </row>
    <row r="144" spans="1:2">
      <c r="B144" s="2"/>
    </row>
    <row r="145" spans="2:2">
      <c r="B145" s="2"/>
    </row>
    <row r="146" spans="2:2">
      <c r="B146" s="2"/>
    </row>
    <row r="147" spans="2:2">
      <c r="B147" s="2"/>
    </row>
    <row r="148" spans="2:2">
      <c r="B148" s="2"/>
    </row>
    <row r="149" spans="2:2">
      <c r="B149" s="2"/>
    </row>
    <row r="150" spans="2:2">
      <c r="B150" s="2"/>
    </row>
    <row r="151" spans="2:2">
      <c r="B151" s="2"/>
    </row>
    <row r="152" spans="2:2">
      <c r="B152" s="2"/>
    </row>
    <row r="153" spans="2:2">
      <c r="B153" s="2"/>
    </row>
    <row r="154" spans="2:2">
      <c r="B154" s="2"/>
    </row>
    <row r="155" spans="2:2">
      <c r="B155" s="2"/>
    </row>
    <row r="156" spans="2:2">
      <c r="B156" s="2"/>
    </row>
    <row r="157" spans="2:2">
      <c r="B157" s="2"/>
    </row>
    <row r="158" spans="2:2">
      <c r="B158" s="2"/>
    </row>
    <row r="159" spans="2:2">
      <c r="B159" s="2"/>
    </row>
    <row r="160" spans="2:2">
      <c r="B160" s="2"/>
    </row>
    <row r="161" spans="2:2">
      <c r="B161" s="2"/>
    </row>
    <row r="162" spans="2:2">
      <c r="B162" s="2"/>
    </row>
    <row r="163" spans="2:2">
      <c r="B163" s="2"/>
    </row>
    <row r="164" spans="2:2">
      <c r="B164" s="2"/>
    </row>
    <row r="165" spans="2:2">
      <c r="B165" s="2"/>
    </row>
    <row r="166" spans="2:2">
      <c r="B166" s="2"/>
    </row>
    <row r="167" spans="2:2">
      <c r="B167" s="2"/>
    </row>
    <row r="168" spans="2:2">
      <c r="B168" s="2"/>
    </row>
    <row r="169" spans="2:2">
      <c r="B169" s="2"/>
    </row>
    <row r="170" spans="2:2">
      <c r="B170" s="2"/>
    </row>
    <row r="171" spans="2:2">
      <c r="B171" s="2"/>
    </row>
    <row r="172" spans="2:2">
      <c r="B172" s="2"/>
    </row>
    <row r="173" spans="2:2">
      <c r="B173" s="2"/>
    </row>
    <row r="174" spans="2:2">
      <c r="B174" s="2"/>
    </row>
    <row r="175" spans="2:2">
      <c r="B175" s="2"/>
    </row>
    <row r="176" spans="2:2">
      <c r="B176" s="2"/>
    </row>
    <row r="177" spans="2:2">
      <c r="B177" s="2"/>
    </row>
    <row r="178" spans="2:2">
      <c r="B178" s="2"/>
    </row>
    <row r="179" spans="2:2">
      <c r="B179" s="2"/>
    </row>
    <row r="180" spans="2:2">
      <c r="B180" s="2"/>
    </row>
  </sheetData>
  <mergeCells count="14">
    <mergeCell ref="A104:A124"/>
    <mergeCell ref="A30:A37"/>
    <mergeCell ref="A96:A103"/>
    <mergeCell ref="G3:Q3"/>
    <mergeCell ref="A5:A22"/>
    <mergeCell ref="A23:A26"/>
    <mergeCell ref="A27:A29"/>
    <mergeCell ref="C69:E69"/>
    <mergeCell ref="G69:Q69"/>
    <mergeCell ref="C3:E3"/>
    <mergeCell ref="A71:A88"/>
    <mergeCell ref="A89:A92"/>
    <mergeCell ref="A93:A95"/>
    <mergeCell ref="A38:A58"/>
  </mergeCells>
  <phoneticPr fontId="42" type="noConversion"/>
  <hyperlinks>
    <hyperlink ref="C3:E3" location="'Series Descriptions'!A2" display="Spending" xr:uid="{00000000-0004-0000-0300-000000000000}"/>
    <hyperlink ref="C69:E69" location="'Series Descriptions'!A2" display="Spending" xr:uid="{00000000-0004-0000-0300-000001000000}"/>
    <hyperlink ref="G69:Q69" location="'Series Descriptions'!A17" display="Core Crown Expense Classes" xr:uid="{00000000-0004-0000-0300-000002000000}"/>
    <hyperlink ref="G3:Q3" location="'Series Descriptions'!A17" display="Core Crown Expense Classes" xr:uid="{00000000-0004-0000-0300-000003000000}"/>
    <hyperlink ref="B62" location="'Series Descriptions'!A144" display="magnitude of difference in 1994 in transition from cash to accrual " xr:uid="{00000000-0004-0000-0300-000004000000}"/>
    <hyperlink ref="B128" location="'Series Descriptions'!A144" display="magnitude of difference in 1994 in transition from cash to accrual " xr:uid="{00000000-0004-0000-0300-000005000000}"/>
  </hyperlinks>
  <pageMargins left="0.7" right="0.7" top="0.75" bottom="0.75" header="0.3" footer="0.3"/>
  <pageSetup paperSize="9" scale="4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8"/>
  <sheetViews>
    <sheetView zoomScaleNormal="100" workbookViewId="0">
      <pane xSplit="2" ySplit="4" topLeftCell="C5" activePane="bottomRight" state="frozen"/>
      <selection pane="topRight" activeCell="C1" sqref="C1"/>
      <selection pane="bottomLeft" activeCell="A5" sqref="A5"/>
      <selection pane="bottomRight" activeCell="O123" sqref="O123"/>
    </sheetView>
  </sheetViews>
  <sheetFormatPr defaultRowHeight="12.75"/>
  <cols>
    <col min="1" max="1" width="4.7109375" customWidth="1"/>
    <col min="2" max="2" width="5.7109375" customWidth="1"/>
    <col min="3" max="3" width="10.28515625" customWidth="1"/>
    <col min="4" max="5" width="8.5703125" customWidth="1"/>
    <col min="6" max="6" width="9.28515625" customWidth="1"/>
    <col min="7" max="7" width="9.42578125" customWidth="1"/>
    <col min="8" max="8" width="1.7109375" customWidth="1"/>
    <col min="9" max="9" width="8.7109375" customWidth="1"/>
    <col min="10" max="10" width="11.28515625" customWidth="1"/>
    <col min="11" max="11" width="1.7109375" customWidth="1"/>
    <col min="12" max="12" width="12.5703125" bestFit="1" customWidth="1"/>
    <col min="13" max="13" width="9.7109375" customWidth="1"/>
    <col min="14" max="14" width="9.28515625" customWidth="1"/>
  </cols>
  <sheetData>
    <row r="1" spans="1:14" ht="15.75">
      <c r="A1" s="1" t="s">
        <v>82</v>
      </c>
    </row>
    <row r="2" spans="1:14" ht="15.75">
      <c r="A2" s="1"/>
    </row>
    <row r="3" spans="1:14" ht="13.5" customHeight="1">
      <c r="A3" s="57" t="s">
        <v>30</v>
      </c>
      <c r="B3" s="8"/>
      <c r="C3" s="189" t="s">
        <v>83</v>
      </c>
      <c r="D3" s="189"/>
      <c r="E3" s="189"/>
      <c r="F3" s="189"/>
      <c r="G3" s="189"/>
      <c r="H3" s="61"/>
      <c r="I3" s="189" t="s">
        <v>84</v>
      </c>
      <c r="J3" s="189"/>
      <c r="K3" s="189"/>
      <c r="L3" s="189"/>
      <c r="M3" s="189"/>
      <c r="N3" s="190"/>
    </row>
    <row r="4" spans="1:14" ht="50.25" customHeight="1">
      <c r="A4" s="58"/>
      <c r="B4" s="5"/>
      <c r="C4" s="7" t="s">
        <v>85</v>
      </c>
      <c r="D4" s="7" t="s">
        <v>86</v>
      </c>
      <c r="E4" s="7" t="s">
        <v>87</v>
      </c>
      <c r="F4" s="7" t="s">
        <v>88</v>
      </c>
      <c r="G4" s="7" t="s">
        <v>89</v>
      </c>
      <c r="H4" s="33"/>
      <c r="I4" s="7" t="s">
        <v>90</v>
      </c>
      <c r="J4" s="7" t="s">
        <v>91</v>
      </c>
      <c r="K4" s="7"/>
      <c r="L4" s="7" t="s">
        <v>92</v>
      </c>
      <c r="M4" s="7" t="s">
        <v>93</v>
      </c>
      <c r="N4" s="62" t="s">
        <v>94</v>
      </c>
    </row>
    <row r="5" spans="1:14" ht="12.75" customHeight="1">
      <c r="A5" s="191" t="s">
        <v>37</v>
      </c>
      <c r="B5" s="11">
        <v>1972</v>
      </c>
      <c r="C5" s="100">
        <v>107.2</v>
      </c>
      <c r="D5" s="100"/>
      <c r="E5" s="100"/>
      <c r="F5" s="100"/>
      <c r="G5" s="100"/>
      <c r="H5" s="93"/>
      <c r="I5" s="100">
        <v>1707</v>
      </c>
      <c r="J5" s="100"/>
      <c r="K5" s="100"/>
      <c r="L5" s="100">
        <v>1790</v>
      </c>
      <c r="M5" s="100"/>
      <c r="N5" s="102"/>
    </row>
    <row r="6" spans="1:14">
      <c r="A6" s="192"/>
      <c r="B6" s="13">
        <v>1973</v>
      </c>
      <c r="C6" s="93">
        <v>7.2000000000002728</v>
      </c>
      <c r="D6" s="93"/>
      <c r="E6" s="93"/>
      <c r="F6" s="93"/>
      <c r="G6" s="93"/>
      <c r="H6" s="93"/>
      <c r="I6" s="93">
        <v>1926.7</v>
      </c>
      <c r="J6" s="93"/>
      <c r="K6" s="93"/>
      <c r="L6" s="93">
        <v>2013.4</v>
      </c>
      <c r="M6" s="93"/>
      <c r="N6" s="96"/>
    </row>
    <row r="7" spans="1:14">
      <c r="A7" s="192"/>
      <c r="B7" s="13">
        <v>1974</v>
      </c>
      <c r="C7" s="93">
        <v>87.699999999999818</v>
      </c>
      <c r="D7" s="93"/>
      <c r="E7" s="93"/>
      <c r="F7" s="93"/>
      <c r="G7" s="93"/>
      <c r="H7" s="93"/>
      <c r="I7" s="93">
        <v>2395</v>
      </c>
      <c r="J7" s="93"/>
      <c r="K7" s="93"/>
      <c r="L7" s="93">
        <v>2391.6</v>
      </c>
      <c r="M7" s="93"/>
      <c r="N7" s="96"/>
    </row>
    <row r="8" spans="1:14">
      <c r="A8" s="192"/>
      <c r="B8" s="13">
        <v>1975</v>
      </c>
      <c r="C8" s="93">
        <v>42.899999999999636</v>
      </c>
      <c r="D8" s="93"/>
      <c r="E8" s="93"/>
      <c r="F8" s="93"/>
      <c r="G8" s="93"/>
      <c r="H8" s="93"/>
      <c r="I8" s="93">
        <v>2865.5</v>
      </c>
      <c r="J8" s="93"/>
      <c r="K8" s="93"/>
      <c r="L8" s="93">
        <v>3020.6</v>
      </c>
      <c r="M8" s="93"/>
      <c r="N8" s="96"/>
    </row>
    <row r="9" spans="1:14">
      <c r="A9" s="192"/>
      <c r="B9" s="13">
        <v>1976</v>
      </c>
      <c r="C9" s="93">
        <v>-177.6</v>
      </c>
      <c r="D9" s="93"/>
      <c r="E9" s="93"/>
      <c r="F9" s="93"/>
      <c r="G9" s="93"/>
      <c r="H9" s="93"/>
      <c r="I9" s="93">
        <v>3185.5</v>
      </c>
      <c r="J9" s="93"/>
      <c r="K9" s="93"/>
      <c r="L9" s="93">
        <v>3384.4</v>
      </c>
      <c r="M9" s="93"/>
      <c r="N9" s="96"/>
    </row>
    <row r="10" spans="1:14">
      <c r="A10" s="192"/>
      <c r="B10" s="13">
        <v>1977</v>
      </c>
      <c r="C10" s="93">
        <v>115.59999999999945</v>
      </c>
      <c r="D10" s="93"/>
      <c r="E10" s="93"/>
      <c r="F10" s="93"/>
      <c r="G10" s="93"/>
      <c r="H10" s="93"/>
      <c r="I10" s="93">
        <v>3845.3</v>
      </c>
      <c r="J10" s="93"/>
      <c r="K10" s="93"/>
      <c r="L10" s="93">
        <v>4072.5</v>
      </c>
      <c r="M10" s="93"/>
      <c r="N10" s="96"/>
    </row>
    <row r="11" spans="1:14">
      <c r="A11" s="192"/>
      <c r="B11" s="13">
        <v>1978</v>
      </c>
      <c r="C11" s="93">
        <v>15.199999999999818</v>
      </c>
      <c r="D11" s="93"/>
      <c r="E11" s="93"/>
      <c r="F11" s="93"/>
      <c r="G11" s="93"/>
      <c r="H11" s="93"/>
      <c r="I11" s="93">
        <v>4626.3</v>
      </c>
      <c r="J11" s="93"/>
      <c r="K11" s="93"/>
      <c r="L11" s="93">
        <v>4974.3</v>
      </c>
      <c r="M11" s="93"/>
      <c r="N11" s="96"/>
    </row>
    <row r="12" spans="1:14">
      <c r="A12" s="192"/>
      <c r="B12" s="13">
        <v>1979</v>
      </c>
      <c r="C12" s="93">
        <v>-697.10000000000127</v>
      </c>
      <c r="D12" s="93"/>
      <c r="E12" s="93"/>
      <c r="F12" s="93"/>
      <c r="G12" s="93"/>
      <c r="H12" s="93"/>
      <c r="I12" s="93">
        <v>4989.5</v>
      </c>
      <c r="J12" s="93"/>
      <c r="K12" s="93"/>
      <c r="L12" s="93">
        <v>5402.4</v>
      </c>
      <c r="M12" s="93"/>
      <c r="N12" s="96"/>
    </row>
    <row r="13" spans="1:14">
      <c r="A13" s="192"/>
      <c r="B13" s="13">
        <v>1980</v>
      </c>
      <c r="C13" s="93">
        <v>-411.50000000000091</v>
      </c>
      <c r="D13" s="93"/>
      <c r="E13" s="93"/>
      <c r="F13" s="93"/>
      <c r="G13" s="93"/>
      <c r="H13" s="93"/>
      <c r="I13" s="93">
        <v>6019.9</v>
      </c>
      <c r="J13" s="93"/>
      <c r="K13" s="93"/>
      <c r="L13" s="93">
        <v>6559.7</v>
      </c>
      <c r="M13" s="93"/>
      <c r="N13" s="96"/>
    </row>
    <row r="14" spans="1:14">
      <c r="A14" s="192"/>
      <c r="B14" s="13">
        <v>1981</v>
      </c>
      <c r="C14" s="93">
        <v>-908.90000000000055</v>
      </c>
      <c r="D14" s="93"/>
      <c r="E14" s="93"/>
      <c r="F14" s="93"/>
      <c r="G14" s="93"/>
      <c r="H14" s="93"/>
      <c r="I14" s="93">
        <v>7050.6</v>
      </c>
      <c r="J14" s="93"/>
      <c r="K14" s="93"/>
      <c r="L14" s="93">
        <v>7608.4</v>
      </c>
      <c r="M14" s="93"/>
      <c r="N14" s="96"/>
    </row>
    <row r="15" spans="1:14">
      <c r="A15" s="192"/>
      <c r="B15" s="13">
        <v>1982</v>
      </c>
      <c r="C15" s="93">
        <v>-1029.3</v>
      </c>
      <c r="D15" s="93"/>
      <c r="E15" s="93"/>
      <c r="F15" s="93"/>
      <c r="G15" s="93"/>
      <c r="H15" s="93"/>
      <c r="I15" s="93">
        <v>8798.2000000000007</v>
      </c>
      <c r="J15" s="93"/>
      <c r="K15" s="93"/>
      <c r="L15" s="93">
        <v>9378.4</v>
      </c>
      <c r="M15" s="93"/>
      <c r="N15" s="96"/>
    </row>
    <row r="16" spans="1:14">
      <c r="A16" s="192"/>
      <c r="B16" s="13">
        <v>1983</v>
      </c>
      <c r="C16" s="93">
        <v>-1442</v>
      </c>
      <c r="D16" s="93"/>
      <c r="E16" s="93"/>
      <c r="F16" s="93"/>
      <c r="G16" s="93"/>
      <c r="H16" s="93"/>
      <c r="I16" s="93">
        <v>10097.4</v>
      </c>
      <c r="J16" s="93"/>
      <c r="K16" s="93"/>
      <c r="L16" s="93">
        <v>10514.4</v>
      </c>
      <c r="M16" s="93"/>
      <c r="N16" s="96"/>
    </row>
    <row r="17" spans="1:21">
      <c r="A17" s="192"/>
      <c r="B17" s="13">
        <v>1984</v>
      </c>
      <c r="C17" s="93">
        <v>-2275.1</v>
      </c>
      <c r="D17" s="93"/>
      <c r="E17" s="93"/>
      <c r="F17" s="93"/>
      <c r="G17" s="93"/>
      <c r="H17" s="93"/>
      <c r="I17" s="93">
        <v>10431.4</v>
      </c>
      <c r="J17" s="93"/>
      <c r="K17" s="93"/>
      <c r="L17" s="93">
        <v>11149.5</v>
      </c>
      <c r="M17" s="93"/>
      <c r="N17" s="96"/>
    </row>
    <row r="18" spans="1:21">
      <c r="A18" s="192"/>
      <c r="B18" s="13">
        <v>1985</v>
      </c>
      <c r="C18" s="93">
        <v>-1999.7</v>
      </c>
      <c r="D18" s="93"/>
      <c r="E18" s="93"/>
      <c r="F18" s="93"/>
      <c r="G18" s="93"/>
      <c r="H18" s="93"/>
      <c r="I18" s="93">
        <v>11913.6</v>
      </c>
      <c r="J18" s="93"/>
      <c r="K18" s="93"/>
      <c r="L18" s="93">
        <v>12534.2</v>
      </c>
      <c r="M18" s="93"/>
      <c r="N18" s="96"/>
    </row>
    <row r="19" spans="1:21">
      <c r="A19" s="192"/>
      <c r="B19" s="13">
        <v>1986</v>
      </c>
      <c r="C19" s="93">
        <v>-1185.9000000000001</v>
      </c>
      <c r="D19" s="93"/>
      <c r="E19" s="93"/>
      <c r="F19" s="93"/>
      <c r="G19" s="93"/>
      <c r="H19" s="93"/>
      <c r="I19" s="93">
        <v>14235.9</v>
      </c>
      <c r="J19" s="93"/>
      <c r="K19" s="93"/>
      <c r="L19" s="93">
        <v>15801.3</v>
      </c>
      <c r="M19" s="93"/>
      <c r="N19" s="96"/>
    </row>
    <row r="20" spans="1:21">
      <c r="A20" s="192"/>
      <c r="B20" s="161" t="s">
        <v>38</v>
      </c>
      <c r="C20" s="93">
        <v>-1830.5</v>
      </c>
      <c r="D20" s="93"/>
      <c r="E20" s="93"/>
      <c r="F20" s="93"/>
      <c r="G20" s="93"/>
      <c r="H20" s="93"/>
      <c r="I20" s="93">
        <v>17408.099999999999</v>
      </c>
      <c r="J20" s="93"/>
      <c r="K20" s="93"/>
      <c r="L20" s="93">
        <v>18992.5</v>
      </c>
      <c r="M20" s="93"/>
      <c r="N20" s="96"/>
    </row>
    <row r="21" spans="1:21">
      <c r="A21" s="192"/>
      <c r="B21" s="161" t="s">
        <v>39</v>
      </c>
      <c r="C21" s="93">
        <v>-1322</v>
      </c>
      <c r="D21" s="93"/>
      <c r="E21" s="93"/>
      <c r="F21" s="93"/>
      <c r="G21" s="93"/>
      <c r="H21" s="93"/>
      <c r="I21" s="93">
        <v>21528.1</v>
      </c>
      <c r="J21" s="93"/>
      <c r="K21" s="93"/>
      <c r="L21" s="93">
        <v>23583.7</v>
      </c>
      <c r="M21" s="93"/>
      <c r="N21" s="96"/>
    </row>
    <row r="22" spans="1:21">
      <c r="A22" s="193"/>
      <c r="B22" s="162" t="s">
        <v>40</v>
      </c>
      <c r="C22" s="95">
        <v>-954.09999999999854</v>
      </c>
      <c r="D22" s="95"/>
      <c r="E22" s="95"/>
      <c r="F22" s="95"/>
      <c r="G22" s="95"/>
      <c r="H22" s="93"/>
      <c r="I22" s="95">
        <v>22864</v>
      </c>
      <c r="J22" s="95"/>
      <c r="K22" s="95"/>
      <c r="L22" s="95">
        <v>25473.4</v>
      </c>
      <c r="M22" s="95"/>
      <c r="N22" s="97"/>
    </row>
    <row r="23" spans="1:21" ht="12.75" customHeight="1">
      <c r="A23" s="192" t="s">
        <v>41</v>
      </c>
      <c r="B23" s="161" t="s">
        <v>42</v>
      </c>
      <c r="C23" s="93">
        <v>-943.19999999999709</v>
      </c>
      <c r="D23" s="93"/>
      <c r="E23" s="93"/>
      <c r="F23" s="93"/>
      <c r="G23" s="93"/>
      <c r="H23" s="93"/>
      <c r="I23" s="93">
        <v>26198.2</v>
      </c>
      <c r="J23" s="93"/>
      <c r="K23" s="93"/>
      <c r="L23" s="93">
        <v>28351.200000000001</v>
      </c>
      <c r="M23" s="93"/>
      <c r="N23" s="96"/>
    </row>
    <row r="24" spans="1:21">
      <c r="A24" s="192"/>
      <c r="B24" s="161" t="s">
        <v>43</v>
      </c>
      <c r="C24" s="93">
        <v>-2558</v>
      </c>
      <c r="D24" s="93"/>
      <c r="E24" s="93"/>
      <c r="F24" s="93"/>
      <c r="G24" s="93"/>
      <c r="H24" s="93"/>
      <c r="I24" s="93">
        <v>25797</v>
      </c>
      <c r="J24" s="93"/>
      <c r="K24" s="93"/>
      <c r="L24" s="93">
        <v>29010</v>
      </c>
      <c r="M24" s="93"/>
      <c r="N24" s="96"/>
    </row>
    <row r="25" spans="1:21">
      <c r="A25" s="192"/>
      <c r="B25" s="161" t="s">
        <v>44</v>
      </c>
      <c r="C25" s="93">
        <v>-2528</v>
      </c>
      <c r="D25" s="93"/>
      <c r="E25" s="93"/>
      <c r="F25" s="93"/>
      <c r="G25" s="93"/>
      <c r="H25" s="93"/>
      <c r="I25" s="93">
        <v>24843</v>
      </c>
      <c r="J25" s="93"/>
      <c r="K25" s="93"/>
      <c r="L25" s="93">
        <v>27635</v>
      </c>
      <c r="M25" s="93"/>
      <c r="N25" s="96"/>
    </row>
    <row r="26" spans="1:21">
      <c r="A26" s="193"/>
      <c r="B26" s="162" t="s">
        <v>45</v>
      </c>
      <c r="C26" s="95">
        <v>-1823</v>
      </c>
      <c r="D26" s="95"/>
      <c r="E26" s="95"/>
      <c r="F26" s="95"/>
      <c r="G26" s="95"/>
      <c r="H26" s="93"/>
      <c r="I26" s="95">
        <v>25980</v>
      </c>
      <c r="J26" s="95"/>
      <c r="K26" s="95"/>
      <c r="L26" s="95">
        <v>27629</v>
      </c>
      <c r="M26" s="95"/>
      <c r="N26" s="97"/>
    </row>
    <row r="27" spans="1:21" ht="12.75" customHeight="1">
      <c r="A27" s="191" t="s">
        <v>46</v>
      </c>
      <c r="B27" s="168" t="s">
        <v>47</v>
      </c>
      <c r="C27" s="101"/>
      <c r="D27" s="100">
        <v>755</v>
      </c>
      <c r="E27" s="100"/>
      <c r="F27" s="100">
        <v>-517</v>
      </c>
      <c r="G27" s="100">
        <v>679</v>
      </c>
      <c r="H27" s="93"/>
      <c r="I27" s="100">
        <v>27571</v>
      </c>
      <c r="J27" s="106">
        <v>26542</v>
      </c>
      <c r="K27" s="100"/>
      <c r="L27" s="101"/>
      <c r="M27" s="106">
        <v>29020</v>
      </c>
      <c r="N27" s="102"/>
    </row>
    <row r="28" spans="1:21">
      <c r="A28" s="192"/>
      <c r="B28" s="161" t="s">
        <v>48</v>
      </c>
      <c r="C28" s="93"/>
      <c r="D28" s="93">
        <v>2695</v>
      </c>
      <c r="E28" s="93"/>
      <c r="F28" s="93">
        <v>2738</v>
      </c>
      <c r="G28" s="93">
        <v>396</v>
      </c>
      <c r="H28" s="93"/>
      <c r="I28" s="93">
        <v>29961</v>
      </c>
      <c r="J28" s="107">
        <v>29026</v>
      </c>
      <c r="K28" s="93"/>
      <c r="L28" s="93"/>
      <c r="M28" s="107">
        <v>32461</v>
      </c>
      <c r="N28" s="96"/>
      <c r="S28" s="108"/>
      <c r="T28" s="108"/>
      <c r="U28" s="108"/>
    </row>
    <row r="29" spans="1:21">
      <c r="A29" s="192"/>
      <c r="B29" s="161" t="s">
        <v>49</v>
      </c>
      <c r="C29" s="93"/>
      <c r="D29" s="107">
        <v>3314</v>
      </c>
      <c r="E29" s="107"/>
      <c r="F29" s="93">
        <v>2928</v>
      </c>
      <c r="G29" s="93">
        <v>4932</v>
      </c>
      <c r="H29" s="93"/>
      <c r="I29" s="93">
        <v>32319</v>
      </c>
      <c r="J29" s="107">
        <v>30973</v>
      </c>
      <c r="K29" s="93"/>
      <c r="L29" s="93"/>
      <c r="M29" s="107">
        <v>33799</v>
      </c>
      <c r="N29" s="96"/>
    </row>
    <row r="30" spans="1:21" ht="12.75" customHeight="1">
      <c r="A30" s="191" t="s">
        <v>50</v>
      </c>
      <c r="B30" s="11">
        <v>1997</v>
      </c>
      <c r="C30" s="100"/>
      <c r="D30" s="100">
        <v>1863</v>
      </c>
      <c r="E30" s="100"/>
      <c r="F30" s="100">
        <v>1801</v>
      </c>
      <c r="G30" s="100">
        <v>3913</v>
      </c>
      <c r="H30" s="100"/>
      <c r="I30" s="100">
        <v>31731</v>
      </c>
      <c r="J30" s="100">
        <v>30737</v>
      </c>
      <c r="K30" s="100"/>
      <c r="L30" s="100"/>
      <c r="M30" s="100">
        <v>33130.962406015038</v>
      </c>
      <c r="N30" s="102">
        <v>39400.962406015038</v>
      </c>
    </row>
    <row r="31" spans="1:21">
      <c r="A31" s="195"/>
      <c r="B31" s="13">
        <v>1998</v>
      </c>
      <c r="C31" s="93"/>
      <c r="D31" s="93">
        <v>2048</v>
      </c>
      <c r="E31" s="93"/>
      <c r="F31" s="93">
        <v>2345</v>
      </c>
      <c r="G31" s="93">
        <v>484</v>
      </c>
      <c r="H31" s="93"/>
      <c r="I31" s="93">
        <v>33059</v>
      </c>
      <c r="J31" s="93">
        <v>31779</v>
      </c>
      <c r="K31" s="93"/>
      <c r="L31" s="93"/>
      <c r="M31" s="93">
        <v>34241.947368421053</v>
      </c>
      <c r="N31" s="96">
        <v>41111.947368421053</v>
      </c>
    </row>
    <row r="32" spans="1:21">
      <c r="A32" s="195"/>
      <c r="B32" s="13">
        <v>1999</v>
      </c>
      <c r="C32" s="93"/>
      <c r="D32" s="93">
        <v>1705</v>
      </c>
      <c r="E32" s="93"/>
      <c r="F32" s="93">
        <v>128</v>
      </c>
      <c r="G32" s="93">
        <v>2048</v>
      </c>
      <c r="H32" s="93"/>
      <c r="I32" s="93">
        <v>32384</v>
      </c>
      <c r="J32" s="93">
        <v>30875</v>
      </c>
      <c r="K32" s="93"/>
      <c r="L32" s="93"/>
      <c r="M32" s="93">
        <v>32879.571428571428</v>
      </c>
      <c r="N32" s="96">
        <v>39965.571428571428</v>
      </c>
    </row>
    <row r="33" spans="1:20">
      <c r="A33" s="195"/>
      <c r="B33" s="13">
        <v>2000</v>
      </c>
      <c r="C33" s="93"/>
      <c r="D33" s="93">
        <v>1404.58</v>
      </c>
      <c r="E33" s="93"/>
      <c r="F33" s="93">
        <v>593.58000000000175</v>
      </c>
      <c r="G33" s="93">
        <v>-386</v>
      </c>
      <c r="H33" s="93"/>
      <c r="I33" s="93">
        <v>33864</v>
      </c>
      <c r="J33" s="93">
        <v>32598</v>
      </c>
      <c r="K33" s="93"/>
      <c r="L33" s="93"/>
      <c r="M33" s="93">
        <v>34945.526315789473</v>
      </c>
      <c r="N33" s="96">
        <v>41611.526315789473</v>
      </c>
    </row>
    <row r="34" spans="1:20">
      <c r="A34" s="195"/>
      <c r="B34" s="13" t="s">
        <v>51</v>
      </c>
      <c r="C34" s="93"/>
      <c r="D34" s="93">
        <v>1207.53</v>
      </c>
      <c r="E34" s="93"/>
      <c r="F34" s="93">
        <v>1421.5299999999988</v>
      </c>
      <c r="G34" s="93">
        <v>349</v>
      </c>
      <c r="H34" s="93"/>
      <c r="I34" s="93">
        <v>36250</v>
      </c>
      <c r="J34" s="93">
        <v>35345</v>
      </c>
      <c r="K34" s="93"/>
      <c r="L34" s="93"/>
      <c r="M34" s="93">
        <v>37841.54887218045</v>
      </c>
      <c r="N34" s="96">
        <v>44939.548872180501</v>
      </c>
    </row>
    <row r="35" spans="1:20">
      <c r="A35" s="195"/>
      <c r="B35" s="13" t="s">
        <v>52</v>
      </c>
      <c r="C35" s="93"/>
      <c r="D35" s="93">
        <v>2286.4422400000049</v>
      </c>
      <c r="E35" s="93"/>
      <c r="F35" s="93">
        <v>2471.215240000005</v>
      </c>
      <c r="G35" s="93">
        <v>216</v>
      </c>
      <c r="H35" s="93"/>
      <c r="I35" s="93">
        <v>38862</v>
      </c>
      <c r="J35" s="93">
        <v>36809</v>
      </c>
      <c r="K35" s="93"/>
      <c r="L35" s="93"/>
      <c r="M35" s="93">
        <v>39944.6847443609</v>
      </c>
      <c r="N35" s="96">
        <v>49673.660744360903</v>
      </c>
    </row>
    <row r="36" spans="1:20">
      <c r="A36" s="195"/>
      <c r="B36" s="13" t="s">
        <v>53</v>
      </c>
      <c r="C36" s="93"/>
      <c r="D36" s="93">
        <v>1621.0389900000096</v>
      </c>
      <c r="E36" s="93"/>
      <c r="F36" s="93">
        <v>4365.9029900000096</v>
      </c>
      <c r="G36" s="93">
        <v>1217</v>
      </c>
      <c r="H36" s="93"/>
      <c r="I36" s="93">
        <v>39842</v>
      </c>
      <c r="J36" s="93">
        <v>40518</v>
      </c>
      <c r="K36" s="93"/>
      <c r="L36" s="93"/>
      <c r="M36" s="93">
        <v>43440.392706766914</v>
      </c>
      <c r="N36" s="96">
        <v>56314.514706766902</v>
      </c>
    </row>
    <row r="37" spans="1:20">
      <c r="A37" s="195"/>
      <c r="B37" s="13" t="s">
        <v>54</v>
      </c>
      <c r="C37" s="93"/>
      <c r="D37" s="93">
        <v>7308.8376500000077</v>
      </c>
      <c r="E37" s="93"/>
      <c r="F37" s="93">
        <v>5573.1176500000074</v>
      </c>
      <c r="G37" s="93">
        <v>520</v>
      </c>
      <c r="H37" s="93"/>
      <c r="I37" s="93">
        <v>42777</v>
      </c>
      <c r="J37" s="93">
        <v>43358</v>
      </c>
      <c r="K37" s="93"/>
      <c r="L37" s="93"/>
      <c r="M37" s="93">
        <v>46219.471706766919</v>
      </c>
      <c r="N37" s="96">
        <v>58783.882706766897</v>
      </c>
    </row>
    <row r="38" spans="1:20" ht="12.75" customHeight="1">
      <c r="A38" s="196" t="s">
        <v>55</v>
      </c>
      <c r="B38" s="11" t="s">
        <v>56</v>
      </c>
      <c r="C38" s="100"/>
      <c r="D38" s="100">
        <v>5930.9118500000004</v>
      </c>
      <c r="E38" s="100"/>
      <c r="F38" s="100">
        <v>7074.7858500000002</v>
      </c>
      <c r="G38" s="100">
        <v>3104</v>
      </c>
      <c r="H38" s="100"/>
      <c r="I38" s="100">
        <v>46867</v>
      </c>
      <c r="J38" s="100">
        <v>47468</v>
      </c>
      <c r="K38" s="100"/>
      <c r="L38" s="100"/>
      <c r="M38" s="100">
        <v>50809</v>
      </c>
      <c r="N38" s="102">
        <v>64761</v>
      </c>
      <c r="T38" s="103"/>
    </row>
    <row r="39" spans="1:20">
      <c r="A39" s="197"/>
      <c r="B39" s="13" t="s">
        <v>57</v>
      </c>
      <c r="C39" s="93"/>
      <c r="D39" s="93">
        <v>9541.6390600000104</v>
      </c>
      <c r="E39" s="93"/>
      <c r="F39" s="93">
        <v>7091.025380441999</v>
      </c>
      <c r="G39" s="93">
        <v>2985</v>
      </c>
      <c r="H39" s="93"/>
      <c r="I39" s="93">
        <v>49706</v>
      </c>
      <c r="J39" s="93">
        <v>50973</v>
      </c>
      <c r="K39" s="93"/>
      <c r="L39" s="93"/>
      <c r="M39" s="93">
        <v>55499</v>
      </c>
      <c r="N39" s="96">
        <v>70794</v>
      </c>
      <c r="T39" s="103"/>
    </row>
    <row r="40" spans="1:20">
      <c r="A40" s="197"/>
      <c r="B40" s="13" t="s">
        <v>58</v>
      </c>
      <c r="C40" s="93"/>
      <c r="D40" s="93">
        <v>8022</v>
      </c>
      <c r="E40" s="93"/>
      <c r="F40" s="93">
        <v>5860</v>
      </c>
      <c r="G40" s="93">
        <v>2793</v>
      </c>
      <c r="H40" s="93"/>
      <c r="I40" s="93">
        <v>52157</v>
      </c>
      <c r="J40" s="93">
        <v>53477</v>
      </c>
      <c r="K40" s="93"/>
      <c r="L40" s="93"/>
      <c r="M40" s="93">
        <v>57971</v>
      </c>
      <c r="N40" s="96">
        <v>73915</v>
      </c>
      <c r="T40" s="103"/>
    </row>
    <row r="41" spans="1:20">
      <c r="A41" s="197"/>
      <c r="B41" s="13" t="s">
        <v>59</v>
      </c>
      <c r="C41" s="93"/>
      <c r="D41" s="93">
        <v>2384</v>
      </c>
      <c r="E41" s="93">
        <v>5793</v>
      </c>
      <c r="F41" s="93">
        <v>5637</v>
      </c>
      <c r="G41" s="93">
        <v>2057</v>
      </c>
      <c r="H41" s="93"/>
      <c r="I41" s="93">
        <v>55168</v>
      </c>
      <c r="J41" s="93">
        <v>56747</v>
      </c>
      <c r="K41" s="93"/>
      <c r="L41" s="93"/>
      <c r="M41" s="93">
        <v>61575</v>
      </c>
      <c r="N41" s="96">
        <v>80733</v>
      </c>
      <c r="T41" s="103"/>
    </row>
    <row r="42" spans="1:20">
      <c r="A42" s="197"/>
      <c r="B42" s="13" t="s">
        <v>60</v>
      </c>
      <c r="C42" s="93"/>
      <c r="D42" s="93">
        <v>-10505</v>
      </c>
      <c r="E42" s="93">
        <v>-3800</v>
      </c>
      <c r="F42" s="93">
        <v>-3893</v>
      </c>
      <c r="G42" s="93">
        <v>-8639</v>
      </c>
      <c r="H42" s="93"/>
      <c r="I42" s="93">
        <v>51119</v>
      </c>
      <c r="J42" s="93">
        <v>54681</v>
      </c>
      <c r="K42" s="93"/>
      <c r="L42" s="93"/>
      <c r="M42" s="93">
        <v>59191</v>
      </c>
      <c r="N42" s="96">
        <v>78699</v>
      </c>
      <c r="T42" s="103"/>
    </row>
    <row r="43" spans="1:20">
      <c r="A43" s="197"/>
      <c r="B43" s="13" t="s">
        <v>61</v>
      </c>
      <c r="C43" s="93"/>
      <c r="D43" s="93">
        <v>-4509</v>
      </c>
      <c r="E43" s="93">
        <v>-7666</v>
      </c>
      <c r="F43" s="93">
        <v>-6315</v>
      </c>
      <c r="G43" s="93">
        <v>-9000</v>
      </c>
      <c r="H43" s="93"/>
      <c r="I43" s="93">
        <v>50104</v>
      </c>
      <c r="J43" s="93">
        <v>50744</v>
      </c>
      <c r="K43" s="93"/>
      <c r="L43" s="93"/>
      <c r="M43" s="93">
        <v>55757</v>
      </c>
      <c r="N43" s="96">
        <v>73733</v>
      </c>
      <c r="T43" s="103"/>
    </row>
    <row r="44" spans="1:20">
      <c r="A44" s="197"/>
      <c r="B44" s="13" t="s">
        <v>62</v>
      </c>
      <c r="C44" s="93"/>
      <c r="D44" s="93">
        <v>-13360</v>
      </c>
      <c r="E44" s="93">
        <v>-19993</v>
      </c>
      <c r="F44" s="93">
        <v>-18396</v>
      </c>
      <c r="G44" s="93">
        <v>-13343</v>
      </c>
      <c r="H44" s="93"/>
      <c r="I44" s="93">
        <v>50418</v>
      </c>
      <c r="J44" s="93">
        <v>51557</v>
      </c>
      <c r="K44" s="93"/>
      <c r="L44" s="93"/>
      <c r="M44" s="93">
        <v>57199</v>
      </c>
      <c r="N44" s="96">
        <v>80647</v>
      </c>
      <c r="T44" s="103"/>
    </row>
    <row r="45" spans="1:20">
      <c r="A45" s="197"/>
      <c r="B45" s="13" t="s">
        <v>63</v>
      </c>
      <c r="C45" s="93"/>
      <c r="D45" s="93">
        <v>-14897</v>
      </c>
      <c r="E45" s="93">
        <v>-11884</v>
      </c>
      <c r="F45" s="93">
        <v>-9240</v>
      </c>
      <c r="G45" s="93">
        <v>-10644</v>
      </c>
      <c r="H45" s="93"/>
      <c r="I45" s="93">
        <v>53582</v>
      </c>
      <c r="J45" s="93">
        <v>55081</v>
      </c>
      <c r="K45" s="93"/>
      <c r="L45" s="93"/>
      <c r="M45" s="93">
        <v>60428</v>
      </c>
      <c r="N45" s="96">
        <v>82749</v>
      </c>
      <c r="T45" s="103"/>
    </row>
    <row r="46" spans="1:20">
      <c r="A46" s="197"/>
      <c r="B46" s="13" t="s">
        <v>64</v>
      </c>
      <c r="C46" s="93"/>
      <c r="D46" s="93">
        <v>6925</v>
      </c>
      <c r="E46" s="93">
        <v>-5856</v>
      </c>
      <c r="F46" s="93">
        <v>-4414</v>
      </c>
      <c r="G46" s="93">
        <v>-5742</v>
      </c>
      <c r="H46" s="93"/>
      <c r="I46" s="93">
        <v>56413</v>
      </c>
      <c r="J46" s="93">
        <v>58651</v>
      </c>
      <c r="K46" s="93"/>
      <c r="L46" s="93"/>
      <c r="M46" s="93">
        <v>63805</v>
      </c>
      <c r="N46" s="96">
        <v>85678</v>
      </c>
      <c r="T46" s="103"/>
    </row>
    <row r="47" spans="1:20">
      <c r="A47" s="197"/>
      <c r="B47" s="13" t="s">
        <v>65</v>
      </c>
      <c r="C47" s="93"/>
      <c r="D47" s="93">
        <v>2939</v>
      </c>
      <c r="E47" s="93">
        <v>-3833</v>
      </c>
      <c r="F47" s="93">
        <v>-2802</v>
      </c>
      <c r="G47" s="93">
        <v>-4109</v>
      </c>
      <c r="H47" s="93"/>
      <c r="I47" s="93">
        <v>59853</v>
      </c>
      <c r="J47" s="93">
        <v>61563</v>
      </c>
      <c r="K47" s="93"/>
      <c r="L47" s="93"/>
      <c r="M47" s="93">
        <v>67093</v>
      </c>
      <c r="N47" s="96">
        <v>88536</v>
      </c>
      <c r="T47" s="103"/>
    </row>
    <row r="48" spans="1:20">
      <c r="A48" s="197"/>
      <c r="B48" s="13" t="s">
        <v>66</v>
      </c>
      <c r="C48" s="93"/>
      <c r="D48" s="93">
        <v>5771</v>
      </c>
      <c r="E48" s="93">
        <v>333</v>
      </c>
      <c r="F48" s="93">
        <v>414</v>
      </c>
      <c r="G48" s="93">
        <v>-1827</v>
      </c>
      <c r="H48" s="93"/>
      <c r="I48" s="93">
        <v>64945</v>
      </c>
      <c r="J48" s="93">
        <v>66636</v>
      </c>
      <c r="K48" s="93"/>
      <c r="L48" s="93"/>
      <c r="M48" s="93">
        <v>72213</v>
      </c>
      <c r="N48" s="96">
        <v>93805</v>
      </c>
      <c r="T48" s="103"/>
    </row>
    <row r="49" spans="1:20">
      <c r="A49" s="197"/>
      <c r="B49" s="13" t="s">
        <v>67</v>
      </c>
      <c r="C49" s="93"/>
      <c r="D49" s="93">
        <v>-5369</v>
      </c>
      <c r="E49" s="93">
        <v>2121</v>
      </c>
      <c r="F49" s="93">
        <v>1831</v>
      </c>
      <c r="G49" s="93">
        <v>-1322</v>
      </c>
      <c r="H49" s="93"/>
      <c r="I49" s="93">
        <v>69027</v>
      </c>
      <c r="J49" s="93">
        <v>70445</v>
      </c>
      <c r="K49" s="93"/>
      <c r="L49" s="93"/>
      <c r="M49" s="93">
        <v>76121</v>
      </c>
      <c r="N49" s="96">
        <v>97416</v>
      </c>
      <c r="T49" s="103"/>
    </row>
    <row r="50" spans="1:20">
      <c r="A50" s="197"/>
      <c r="B50" s="13" t="s">
        <v>68</v>
      </c>
      <c r="C50" s="93"/>
      <c r="D50" s="93">
        <v>12317</v>
      </c>
      <c r="E50" s="93">
        <v>4653</v>
      </c>
      <c r="F50" s="93">
        <v>4069</v>
      </c>
      <c r="G50" s="93">
        <v>2574</v>
      </c>
      <c r="H50" s="93"/>
      <c r="I50" s="93">
        <v>73099</v>
      </c>
      <c r="J50" s="93">
        <v>75644</v>
      </c>
      <c r="K50" s="93"/>
      <c r="L50" s="93"/>
      <c r="M50" s="93">
        <v>81782</v>
      </c>
      <c r="N50" s="96">
        <v>103422</v>
      </c>
      <c r="O50" s="103"/>
      <c r="T50" s="103"/>
    </row>
    <row r="51" spans="1:20">
      <c r="A51" s="197"/>
      <c r="B51" s="13" t="s">
        <v>69</v>
      </c>
      <c r="C51" s="93"/>
      <c r="D51" s="93">
        <v>8396</v>
      </c>
      <c r="E51" s="93">
        <v>5942</v>
      </c>
      <c r="F51" s="93">
        <v>5534</v>
      </c>
      <c r="G51" s="93">
        <v>1346</v>
      </c>
      <c r="H51" s="93"/>
      <c r="I51" s="93">
        <v>78566</v>
      </c>
      <c r="J51" s="93">
        <v>80224</v>
      </c>
      <c r="K51" s="93"/>
      <c r="L51" s="93"/>
      <c r="M51" s="93">
        <v>86778</v>
      </c>
      <c r="N51" s="96">
        <v>109973</v>
      </c>
      <c r="T51" s="103"/>
    </row>
    <row r="52" spans="1:20" ht="14.25">
      <c r="A52" s="197"/>
      <c r="B52" s="85" t="s">
        <v>70</v>
      </c>
      <c r="C52" s="93"/>
      <c r="D52" s="111">
        <v>389</v>
      </c>
      <c r="E52" s="111">
        <v>8504</v>
      </c>
      <c r="F52" s="111">
        <v>7429</v>
      </c>
      <c r="G52" s="111">
        <v>-710</v>
      </c>
      <c r="H52" s="111"/>
      <c r="I52" s="111">
        <v>83017</v>
      </c>
      <c r="J52" s="111">
        <v>86468</v>
      </c>
      <c r="K52" s="111"/>
      <c r="L52" s="111"/>
      <c r="M52" s="112">
        <v>93474</v>
      </c>
      <c r="N52" s="114">
        <v>119142</v>
      </c>
    </row>
    <row r="53" spans="1:20">
      <c r="A53" s="197"/>
      <c r="B53" s="85" t="s">
        <v>71</v>
      </c>
      <c r="C53" s="93"/>
      <c r="D53" s="93">
        <v>-30040</v>
      </c>
      <c r="E53" s="93">
        <v>-20902</v>
      </c>
      <c r="F53" s="93">
        <v>-23057</v>
      </c>
      <c r="G53" s="93">
        <v>-23692</v>
      </c>
      <c r="H53" s="93"/>
      <c r="I53" s="93">
        <v>83156</v>
      </c>
      <c r="J53" s="93">
        <v>85102</v>
      </c>
      <c r="K53" s="93"/>
      <c r="L53" s="93"/>
      <c r="M53" s="93">
        <v>91923</v>
      </c>
      <c r="N53" s="123">
        <v>116003</v>
      </c>
    </row>
    <row r="54" spans="1:20">
      <c r="A54" s="197"/>
      <c r="B54" s="85">
        <v>2021</v>
      </c>
      <c r="C54" s="93"/>
      <c r="D54" s="93">
        <v>16159</v>
      </c>
      <c r="E54" s="93">
        <v>-2559</v>
      </c>
      <c r="F54" s="93">
        <v>-4560</v>
      </c>
      <c r="G54" s="93">
        <v>-13767</v>
      </c>
      <c r="H54" s="93"/>
      <c r="I54" s="93">
        <v>95382</v>
      </c>
      <c r="J54" s="93">
        <v>97983</v>
      </c>
      <c r="K54" s="93"/>
      <c r="L54" s="93"/>
      <c r="M54" s="93">
        <v>104968</v>
      </c>
      <c r="N54" s="123">
        <v>129335</v>
      </c>
    </row>
    <row r="55" spans="1:20">
      <c r="A55" s="197"/>
      <c r="B55" s="85">
        <v>2022</v>
      </c>
      <c r="C55" s="93"/>
      <c r="D55" s="93">
        <v>-16932</v>
      </c>
      <c r="E55" s="93">
        <v>-8664</v>
      </c>
      <c r="F55" s="93">
        <v>-9691</v>
      </c>
      <c r="G55" s="93">
        <v>-27043</v>
      </c>
      <c r="H55" s="93"/>
      <c r="I55" s="93">
        <v>102712</v>
      </c>
      <c r="J55" s="93">
        <v>108458</v>
      </c>
      <c r="K55" s="93"/>
      <c r="L55" s="93"/>
      <c r="M55" s="93">
        <v>117515</v>
      </c>
      <c r="N55" s="123">
        <v>141627</v>
      </c>
    </row>
    <row r="56" spans="1:20">
      <c r="A56" s="197"/>
      <c r="B56" s="85">
        <v>2023</v>
      </c>
      <c r="C56" s="93"/>
      <c r="D56" s="93">
        <v>5321</v>
      </c>
      <c r="E56" s="93">
        <v>-7199</v>
      </c>
      <c r="F56" s="93">
        <v>-9446</v>
      </c>
      <c r="G56" s="93">
        <v>-25648</v>
      </c>
      <c r="H56" s="93"/>
      <c r="I56" s="93">
        <v>110786</v>
      </c>
      <c r="J56" s="93">
        <v>112358</v>
      </c>
      <c r="K56" s="93"/>
      <c r="L56" s="93"/>
      <c r="M56" s="93">
        <v>123398</v>
      </c>
      <c r="N56" s="123">
        <v>153011</v>
      </c>
    </row>
    <row r="57" spans="1:20">
      <c r="A57" s="197"/>
      <c r="B57" s="85">
        <v>2024</v>
      </c>
      <c r="C57" s="93"/>
      <c r="D57" s="93">
        <v>-8365</v>
      </c>
      <c r="E57" s="93">
        <v>-8773</v>
      </c>
      <c r="F57" s="93">
        <v>-12854</v>
      </c>
      <c r="G57" s="93">
        <v>-19302</v>
      </c>
      <c r="H57" s="93"/>
      <c r="I57" s="93">
        <v>116042</v>
      </c>
      <c r="J57" s="93">
        <v>120566</v>
      </c>
      <c r="K57" s="93"/>
      <c r="L57" s="93"/>
      <c r="M57" s="93">
        <v>133220</v>
      </c>
      <c r="N57" s="123">
        <v>167347</v>
      </c>
    </row>
    <row r="58" spans="1:20">
      <c r="A58" s="198"/>
      <c r="B58" s="121">
        <v>2025</v>
      </c>
      <c r="C58" s="133"/>
      <c r="D58" s="152">
        <v>-4400</v>
      </c>
      <c r="E58" s="95">
        <v>-9306</v>
      </c>
      <c r="F58" s="95">
        <v>-13973</v>
      </c>
      <c r="G58" s="153">
        <v>-5996</v>
      </c>
      <c r="H58" s="153"/>
      <c r="I58" s="152">
        <v>121183</v>
      </c>
      <c r="J58" s="154">
        <v>121698</v>
      </c>
      <c r="K58" s="95"/>
      <c r="L58" s="152"/>
      <c r="M58" s="95">
        <v>134411</v>
      </c>
      <c r="N58" s="155">
        <v>169811</v>
      </c>
    </row>
    <row r="59" spans="1:20">
      <c r="A59" s="12"/>
      <c r="B59" s="17"/>
      <c r="C59" s="18"/>
      <c r="D59" s="18"/>
      <c r="E59" s="18"/>
      <c r="F59" s="18"/>
      <c r="G59" s="18"/>
      <c r="H59" s="18"/>
      <c r="I59" s="18"/>
      <c r="J59" s="18"/>
      <c r="K59" s="18"/>
      <c r="L59" s="18"/>
      <c r="M59" s="18"/>
      <c r="N59" s="18"/>
    </row>
    <row r="60" spans="1:20">
      <c r="A60" s="37" t="s">
        <v>95</v>
      </c>
      <c r="C60" s="18"/>
      <c r="D60" s="18"/>
      <c r="E60" s="18"/>
      <c r="F60" s="18"/>
      <c r="G60" s="18"/>
      <c r="H60" s="18"/>
      <c r="I60" s="18"/>
      <c r="J60" s="18"/>
      <c r="K60" s="18"/>
      <c r="M60" s="18"/>
      <c r="N60" s="18"/>
    </row>
    <row r="61" spans="1:20">
      <c r="A61" s="37" t="s">
        <v>96</v>
      </c>
      <c r="C61" s="18"/>
      <c r="D61" s="18"/>
      <c r="E61" s="18"/>
      <c r="F61" s="18"/>
      <c r="G61" s="18"/>
      <c r="H61" s="18"/>
      <c r="I61" s="18"/>
      <c r="J61" s="18"/>
      <c r="K61" s="18"/>
      <c r="M61" s="18"/>
      <c r="N61" s="18"/>
    </row>
    <row r="62" spans="1:20">
      <c r="A62" s="37" t="s">
        <v>74</v>
      </c>
      <c r="B62" s="35" t="s">
        <v>75</v>
      </c>
      <c r="C62" s="18"/>
      <c r="D62" s="18"/>
      <c r="E62" s="18"/>
      <c r="F62" s="18"/>
      <c r="G62" s="18"/>
      <c r="H62" s="18"/>
      <c r="I62" s="18"/>
      <c r="J62" s="18"/>
      <c r="K62" s="18"/>
      <c r="L62" s="18"/>
      <c r="M62" s="18"/>
      <c r="N62" s="18"/>
    </row>
    <row r="63" spans="1:20">
      <c r="A63" s="37" t="s">
        <v>97</v>
      </c>
      <c r="C63" s="18"/>
      <c r="D63" s="18"/>
      <c r="E63" s="18"/>
      <c r="F63" s="18"/>
      <c r="G63" s="18"/>
      <c r="H63" s="18"/>
      <c r="I63" s="18"/>
      <c r="J63" s="18"/>
      <c r="K63" s="18"/>
      <c r="M63" s="18"/>
      <c r="N63" s="18"/>
    </row>
    <row r="64" spans="1:20" ht="14.25">
      <c r="A64" s="37" t="s">
        <v>78</v>
      </c>
      <c r="B64" s="17"/>
      <c r="C64" s="18"/>
      <c r="D64" s="18"/>
      <c r="E64" s="18"/>
      <c r="F64" s="18"/>
      <c r="G64" s="18"/>
      <c r="H64" s="18"/>
      <c r="I64" s="18"/>
      <c r="J64" s="18"/>
      <c r="K64" s="18"/>
      <c r="L64" s="18"/>
      <c r="M64" s="18"/>
      <c r="N64" s="18"/>
    </row>
    <row r="65" spans="1:14">
      <c r="A65" s="12"/>
      <c r="B65" s="17"/>
      <c r="C65" s="18"/>
      <c r="D65" s="18"/>
      <c r="E65" s="18"/>
      <c r="F65" s="18"/>
      <c r="G65" s="18"/>
      <c r="H65" s="18"/>
      <c r="I65" s="18"/>
      <c r="J65" s="18"/>
      <c r="K65" s="18"/>
      <c r="L65" s="18"/>
      <c r="M65" s="18"/>
      <c r="N65" s="18"/>
    </row>
    <row r="66" spans="1:14">
      <c r="A66" s="12"/>
      <c r="B66" s="17"/>
      <c r="C66" s="18"/>
      <c r="D66" s="18"/>
      <c r="E66" s="18"/>
      <c r="F66" s="18"/>
      <c r="G66" s="18"/>
      <c r="H66" s="18"/>
      <c r="I66" s="18"/>
      <c r="J66" s="18"/>
      <c r="K66" s="18"/>
      <c r="L66" s="18"/>
      <c r="M66" s="18"/>
      <c r="N66" s="18"/>
    </row>
    <row r="67" spans="1:14">
      <c r="B67" s="2"/>
    </row>
    <row r="68" spans="1:14" ht="13.5" customHeight="1">
      <c r="A68" s="57" t="s">
        <v>79</v>
      </c>
      <c r="B68" s="8"/>
      <c r="C68" s="189" t="s">
        <v>83</v>
      </c>
      <c r="D68" s="189"/>
      <c r="E68" s="189"/>
      <c r="F68" s="189"/>
      <c r="G68" s="189"/>
      <c r="H68" s="61"/>
      <c r="I68" s="189" t="s">
        <v>84</v>
      </c>
      <c r="J68" s="189"/>
      <c r="K68" s="189"/>
      <c r="L68" s="189"/>
      <c r="M68" s="189"/>
      <c r="N68" s="190"/>
    </row>
    <row r="69" spans="1:14" ht="40.5" customHeight="1">
      <c r="A69" s="58"/>
      <c r="B69" s="5"/>
      <c r="C69" s="7" t="s">
        <v>85</v>
      </c>
      <c r="D69" s="7" t="s">
        <v>86</v>
      </c>
      <c r="E69" s="7"/>
      <c r="F69" s="7" t="s">
        <v>88</v>
      </c>
      <c r="G69" s="7" t="s">
        <v>89</v>
      </c>
      <c r="H69" s="33"/>
      <c r="I69" s="7" t="s">
        <v>98</v>
      </c>
      <c r="J69" s="7" t="s">
        <v>91</v>
      </c>
      <c r="K69" s="7"/>
      <c r="L69" s="7" t="s">
        <v>92</v>
      </c>
      <c r="M69" s="7" t="s">
        <v>93</v>
      </c>
      <c r="N69" s="62" t="s">
        <v>94</v>
      </c>
    </row>
    <row r="70" spans="1:14" ht="12.75" customHeight="1">
      <c r="A70" s="191" t="s">
        <v>37</v>
      </c>
      <c r="B70" s="11">
        <v>1972</v>
      </c>
      <c r="C70" s="20">
        <f>'Revenue, Surplus measures'!C5/'Nominal GDP'!$C5</f>
        <v>1.5336194563662375E-2</v>
      </c>
      <c r="D70" s="20"/>
      <c r="E70" s="20"/>
      <c r="F70" s="20"/>
      <c r="G70" s="20"/>
      <c r="H70" s="34"/>
      <c r="I70" s="20">
        <f>'Revenue, Surplus measures'!I5/'Nominal GDP'!$C5</f>
        <v>0.24420600858369099</v>
      </c>
      <c r="J70" s="20"/>
      <c r="K70" s="20"/>
      <c r="L70" s="20">
        <f>'Revenue, Surplus measures'!L5/'Nominal GDP'!$C5</f>
        <v>0.25608011444921314</v>
      </c>
      <c r="M70" s="20"/>
      <c r="N70" s="63"/>
    </row>
    <row r="71" spans="1:14">
      <c r="A71" s="192"/>
      <c r="B71" s="13">
        <v>1973</v>
      </c>
      <c r="C71" s="21">
        <f>'Revenue, Surplus measures'!C6/'Nominal GDP'!$C6</f>
        <v>8.9108910891092484E-4</v>
      </c>
      <c r="D71" s="21"/>
      <c r="E71" s="21"/>
      <c r="F71" s="21"/>
      <c r="G71" s="21"/>
      <c r="H71" s="21"/>
      <c r="I71" s="21">
        <f>'Revenue, Surplus measures'!I6/'Nominal GDP'!$C6</f>
        <v>0.23845297029702972</v>
      </c>
      <c r="J71" s="21"/>
      <c r="K71" s="21"/>
      <c r="L71" s="21">
        <f>'Revenue, Surplus measures'!L6/'Nominal GDP'!$C6</f>
        <v>0.24918316831683168</v>
      </c>
      <c r="M71" s="21"/>
      <c r="N71" s="64"/>
    </row>
    <row r="72" spans="1:14">
      <c r="A72" s="192"/>
      <c r="B72" s="13">
        <v>1974</v>
      </c>
      <c r="C72" s="21">
        <f>'Revenue, Surplus measures'!C7/'Nominal GDP'!$C7</f>
        <v>9.3686571947441313E-3</v>
      </c>
      <c r="D72" s="21"/>
      <c r="E72" s="21"/>
      <c r="F72" s="21"/>
      <c r="G72" s="21"/>
      <c r="H72" s="21"/>
      <c r="I72" s="21">
        <f>'Revenue, Surplus measures'!I7/'Nominal GDP'!$C7</f>
        <v>0.25584873410960368</v>
      </c>
      <c r="J72" s="21"/>
      <c r="K72" s="21"/>
      <c r="L72" s="21">
        <f>'Revenue, Surplus measures'!L7/'Nominal GDP'!$C7</f>
        <v>0.25548552505074246</v>
      </c>
      <c r="M72" s="21"/>
      <c r="N72" s="64"/>
    </row>
    <row r="73" spans="1:14">
      <c r="A73" s="192"/>
      <c r="B73" s="13">
        <v>1975</v>
      </c>
      <c r="C73" s="21">
        <f>'Revenue, Surplus measures'!C8/'Nominal GDP'!$C8</f>
        <v>4.204645692443363E-3</v>
      </c>
      <c r="D73" s="21"/>
      <c r="E73" s="21"/>
      <c r="F73" s="21"/>
      <c r="G73" s="21"/>
      <c r="H73" s="21"/>
      <c r="I73" s="21">
        <f>'Revenue, Surplus measures'!I8/'Nominal GDP'!$C8</f>
        <v>0.28084876996961677</v>
      </c>
      <c r="J73" s="21"/>
      <c r="K73" s="21"/>
      <c r="L73" s="21">
        <f>'Revenue, Surplus measures'!L8/'Nominal GDP'!$C8</f>
        <v>0.29605018131921984</v>
      </c>
      <c r="M73" s="21"/>
      <c r="N73" s="64"/>
    </row>
    <row r="74" spans="1:14">
      <c r="A74" s="192"/>
      <c r="B74" s="13">
        <v>1976</v>
      </c>
      <c r="C74" s="21">
        <f>'Revenue, Surplus measures'!C9/'Nominal GDP'!$C9</f>
        <v>-1.5435424995654441E-2</v>
      </c>
      <c r="D74" s="21"/>
      <c r="E74" s="21"/>
      <c r="F74" s="21"/>
      <c r="G74" s="21"/>
      <c r="H74" s="21"/>
      <c r="I74" s="21">
        <f>'Revenue, Surplus measures'!I9/'Nominal GDP'!$C9</f>
        <v>0.27685555362419606</v>
      </c>
      <c r="J74" s="21"/>
      <c r="K74" s="21"/>
      <c r="L74" s="21">
        <f>'Revenue, Surplus measures'!L9/'Nominal GDP'!$C9</f>
        <v>0.29414218668520775</v>
      </c>
      <c r="M74" s="21"/>
      <c r="N74" s="64"/>
    </row>
    <row r="75" spans="1:14">
      <c r="A75" s="192"/>
      <c r="B75" s="13">
        <v>1977</v>
      </c>
      <c r="C75" s="21">
        <f>'Revenue, Surplus measures'!C10/'Nominal GDP'!$C10</f>
        <v>8.2736902376180539E-3</v>
      </c>
      <c r="D75" s="21"/>
      <c r="E75" s="21"/>
      <c r="F75" s="21"/>
      <c r="G75" s="21"/>
      <c r="H75" s="21"/>
      <c r="I75" s="21">
        <f>'Revenue, Surplus measures'!I10/'Nominal GDP'!$C10</f>
        <v>0.27521471514457485</v>
      </c>
      <c r="J75" s="21"/>
      <c r="K75" s="21"/>
      <c r="L75" s="21">
        <f>'Revenue, Surplus measures'!L10/'Nominal GDP'!$C10</f>
        <v>0.29147580876037787</v>
      </c>
      <c r="M75" s="21"/>
      <c r="N75" s="64"/>
    </row>
    <row r="76" spans="1:14">
      <c r="A76" s="192"/>
      <c r="B76" s="13">
        <v>1978</v>
      </c>
      <c r="C76" s="21">
        <f>'Revenue, Surplus measures'!C11/'Nominal GDP'!$C11</f>
        <v>9.7019212357182729E-4</v>
      </c>
      <c r="D76" s="21"/>
      <c r="E76" s="21"/>
      <c r="F76" s="21"/>
      <c r="G76" s="21"/>
      <c r="H76" s="21"/>
      <c r="I76" s="21">
        <f>'Revenue, Surplus measures'!I11/'Nominal GDP'!$C11</f>
        <v>0.29528946192634198</v>
      </c>
      <c r="J76" s="21"/>
      <c r="K76" s="21"/>
      <c r="L76" s="21">
        <f>'Revenue, Surplus measures'!L11/'Nominal GDP'!$C11</f>
        <v>0.31750175528180252</v>
      </c>
      <c r="M76" s="21"/>
      <c r="N76" s="64"/>
    </row>
    <row r="77" spans="1:14">
      <c r="A77" s="192"/>
      <c r="B77" s="13">
        <v>1979</v>
      </c>
      <c r="C77" s="21">
        <f>'Revenue, Surplus measures'!C12/'Nominal GDP'!$C12</f>
        <v>-3.9140932060640163E-2</v>
      </c>
      <c r="D77" s="21"/>
      <c r="E77" s="21"/>
      <c r="F77" s="21"/>
      <c r="G77" s="21"/>
      <c r="H77" s="21"/>
      <c r="I77" s="21">
        <f>'Revenue, Surplus measures'!I12/'Nominal GDP'!$C12</f>
        <v>0.2801516002245929</v>
      </c>
      <c r="J77" s="21"/>
      <c r="K77" s="21"/>
      <c r="L77" s="21">
        <f>'Revenue, Surplus measures'!L12/'Nominal GDP'!$C12</f>
        <v>0.30333520494104432</v>
      </c>
      <c r="M77" s="21"/>
      <c r="N77" s="64"/>
    </row>
    <row r="78" spans="1:14">
      <c r="A78" s="192"/>
      <c r="B78" s="13">
        <v>1980</v>
      </c>
      <c r="C78" s="21">
        <f>'Revenue, Surplus measures'!C13/'Nominal GDP'!$C13</f>
        <v>-2.0028229339044142E-2</v>
      </c>
      <c r="D78" s="21"/>
      <c r="E78" s="21"/>
      <c r="F78" s="21"/>
      <c r="G78" s="21"/>
      <c r="H78" s="21"/>
      <c r="I78" s="21">
        <f>'Revenue, Surplus measures'!I13/'Nominal GDP'!$C13</f>
        <v>0.2929962036406113</v>
      </c>
      <c r="J78" s="21"/>
      <c r="K78" s="21"/>
      <c r="L78" s="21">
        <f>'Revenue, Surplus measures'!L13/'Nominal GDP'!$C13</f>
        <v>0.31926895746130635</v>
      </c>
      <c r="M78" s="21"/>
      <c r="N78" s="64"/>
    </row>
    <row r="79" spans="1:14">
      <c r="A79" s="192"/>
      <c r="B79" s="13">
        <v>1981</v>
      </c>
      <c r="C79" s="21">
        <f>'Revenue, Surplus measures'!C14/'Nominal GDP'!$C14</f>
        <v>-3.7889778222444576E-2</v>
      </c>
      <c r="D79" s="21"/>
      <c r="E79" s="21"/>
      <c r="F79" s="21"/>
      <c r="G79" s="21"/>
      <c r="H79" s="21"/>
      <c r="I79" s="21">
        <f>'Revenue, Surplus measures'!I14/'Nominal GDP'!$C14</f>
        <v>0.29392196098049028</v>
      </c>
      <c r="J79" s="21"/>
      <c r="K79" s="21"/>
      <c r="L79" s="21">
        <f>'Revenue, Surplus measures'!L14/'Nominal GDP'!$C14</f>
        <v>0.31717525429381355</v>
      </c>
      <c r="M79" s="21"/>
      <c r="N79" s="64"/>
    </row>
    <row r="80" spans="1:14">
      <c r="A80" s="192"/>
      <c r="B80" s="13">
        <v>1982</v>
      </c>
      <c r="C80" s="21">
        <f>'Revenue, Surplus measures'!C15/'Nominal GDP'!$C15</f>
        <v>-3.5458867300537412E-2</v>
      </c>
      <c r="D80" s="21"/>
      <c r="E80" s="21"/>
      <c r="F80" s="21"/>
      <c r="G80" s="21"/>
      <c r="H80" s="21"/>
      <c r="I80" s="21">
        <f>'Revenue, Surplus measures'!I15/'Nominal GDP'!$C15</f>
        <v>0.30309356483395344</v>
      </c>
      <c r="J80" s="21"/>
      <c r="K80" s="21"/>
      <c r="L80" s="21">
        <f>'Revenue, Surplus measures'!L15/'Nominal GDP'!$C15</f>
        <v>0.32308116301501999</v>
      </c>
      <c r="M80" s="21"/>
      <c r="N80" s="64"/>
    </row>
    <row r="81" spans="1:14">
      <c r="A81" s="192"/>
      <c r="B81" s="13">
        <v>1983</v>
      </c>
      <c r="C81" s="21">
        <f>'Revenue, Surplus measures'!C16/'Nominal GDP'!$C16</f>
        <v>-4.3140070603721652E-2</v>
      </c>
      <c r="D81" s="21"/>
      <c r="E81" s="21"/>
      <c r="F81" s="21"/>
      <c r="G81" s="21"/>
      <c r="H81" s="21"/>
      <c r="I81" s="21">
        <f>'Revenue, Surplus measures'!I16/'Nominal GDP'!$C16</f>
        <v>0.30208221145216296</v>
      </c>
      <c r="J81" s="21"/>
      <c r="K81" s="21"/>
      <c r="L81" s="21">
        <f>'Revenue, Surplus measures'!L16/'Nominal GDP'!$C16</f>
        <v>0.31455753006641535</v>
      </c>
      <c r="M81" s="21"/>
      <c r="N81" s="64"/>
    </row>
    <row r="82" spans="1:14">
      <c r="A82" s="192"/>
      <c r="B82" s="13">
        <v>1984</v>
      </c>
      <c r="C82" s="21">
        <f>'Revenue, Surplus measures'!C17/'Nominal GDP'!$C17</f>
        <v>-6.107159154967385E-2</v>
      </c>
      <c r="D82" s="21"/>
      <c r="E82" s="21"/>
      <c r="F82" s="21"/>
      <c r="G82" s="21"/>
      <c r="H82" s="21"/>
      <c r="I82" s="21">
        <f>'Revenue, Surplus measures'!I17/'Nominal GDP'!$C17</f>
        <v>0.28001503234638819</v>
      </c>
      <c r="J82" s="21"/>
      <c r="K82" s="21"/>
      <c r="L82" s="21">
        <f>'Revenue, Surplus measures'!L17/'Nominal GDP'!$C17</f>
        <v>0.29929133224169868</v>
      </c>
      <c r="M82" s="21"/>
      <c r="N82" s="64"/>
    </row>
    <row r="83" spans="1:14">
      <c r="A83" s="192"/>
      <c r="B83" s="13">
        <v>1985</v>
      </c>
      <c r="C83" s="21">
        <f>'Revenue, Surplus measures'!C18/'Nominal GDP'!$C18</f>
        <v>-4.7336899914780801E-2</v>
      </c>
      <c r="D83" s="21"/>
      <c r="E83" s="21"/>
      <c r="F83" s="21"/>
      <c r="G83" s="21"/>
      <c r="H83" s="21"/>
      <c r="I83" s="21">
        <f>'Revenue, Surplus measures'!I18/'Nominal GDP'!$C18</f>
        <v>0.28201874822459994</v>
      </c>
      <c r="J83" s="21"/>
      <c r="K83" s="21"/>
      <c r="L83" s="21">
        <f>'Revenue, Surplus measures'!L18/'Nominal GDP'!$C18</f>
        <v>0.29670959189470697</v>
      </c>
      <c r="M83" s="21"/>
      <c r="N83" s="64"/>
    </row>
    <row r="84" spans="1:14">
      <c r="A84" s="192"/>
      <c r="B84" s="13">
        <v>1986</v>
      </c>
      <c r="C84" s="21">
        <f>'Revenue, Surplus measures'!C19/'Nominal GDP'!$C19</f>
        <v>-2.4311691506590953E-2</v>
      </c>
      <c r="D84" s="21"/>
      <c r="E84" s="21"/>
      <c r="F84" s="21"/>
      <c r="G84" s="21"/>
      <c r="H84" s="21"/>
      <c r="I84" s="21">
        <f>'Revenue, Surplus measures'!I19/'Nominal GDP'!$C19</f>
        <v>0.29184485126796367</v>
      </c>
      <c r="J84" s="21"/>
      <c r="K84" s="21"/>
      <c r="L84" s="21">
        <f>'Revenue, Surplus measures'!L19/'Nominal GDP'!$C19</f>
        <v>0.32393653006416695</v>
      </c>
      <c r="M84" s="21"/>
      <c r="N84" s="64"/>
    </row>
    <row r="85" spans="1:14">
      <c r="A85" s="192"/>
      <c r="B85" s="161" t="s">
        <v>38</v>
      </c>
      <c r="C85" s="21">
        <f>'Revenue, Surplus measures'!C20/'Nominal GDP'!$C20</f>
        <v>-3.1585940330957844E-2</v>
      </c>
      <c r="D85" s="21"/>
      <c r="E85" s="21"/>
      <c r="F85" s="21"/>
      <c r="G85" s="21"/>
      <c r="H85" s="21"/>
      <c r="I85" s="21">
        <f>'Revenue, Surplus measures'!I20/'Nominal GDP'!$C20</f>
        <v>0.30038306903870376</v>
      </c>
      <c r="J85" s="21"/>
      <c r="K85" s="21"/>
      <c r="L85" s="21">
        <f>'Revenue, Surplus measures'!L20/'Nominal GDP'!$C20</f>
        <v>0.32772246475592293</v>
      </c>
      <c r="M85" s="21"/>
      <c r="N85" s="64"/>
    </row>
    <row r="86" spans="1:14">
      <c r="A86" s="192"/>
      <c r="B86" s="161" t="s">
        <v>39</v>
      </c>
      <c r="C86" s="21">
        <f>'Revenue, Surplus measures'!C21/'Nominal GDP'!$C21</f>
        <v>-2.0286341246336336E-2</v>
      </c>
      <c r="D86" s="21"/>
      <c r="E86" s="21"/>
      <c r="F86" s="21"/>
      <c r="G86" s="21"/>
      <c r="H86" s="21"/>
      <c r="I86" s="21">
        <f>'Revenue, Surplus measures'!I21/'Nominal GDP'!$C21</f>
        <v>0.3303527859192536</v>
      </c>
      <c r="J86" s="21"/>
      <c r="K86" s="21"/>
      <c r="L86" s="21">
        <f>'Revenue, Surplus measures'!L21/'Nominal GDP'!$C21</f>
        <v>0.36189635858640112</v>
      </c>
      <c r="M86" s="21"/>
      <c r="N86" s="64"/>
    </row>
    <row r="87" spans="1:14">
      <c r="A87" s="193"/>
      <c r="B87" s="162" t="s">
        <v>40</v>
      </c>
      <c r="C87" s="22">
        <f>'Revenue, Surplus measures'!C22/'Nominal GDP'!$C22</f>
        <v>-1.3508615441249325E-2</v>
      </c>
      <c r="D87" s="22"/>
      <c r="E87" s="22"/>
      <c r="F87" s="22"/>
      <c r="G87" s="22"/>
      <c r="H87" s="21"/>
      <c r="I87" s="22">
        <f>'Revenue, Surplus measures'!I22/'Nominal GDP'!$C22</f>
        <v>0.32371971852921605</v>
      </c>
      <c r="J87" s="22"/>
      <c r="K87" s="22"/>
      <c r="L87" s="22">
        <f>'Revenue, Surplus measures'!L22/'Nominal GDP'!$C22</f>
        <v>0.36066488269690922</v>
      </c>
      <c r="M87" s="22"/>
      <c r="N87" s="65"/>
    </row>
    <row r="88" spans="1:14" ht="12.75" customHeight="1">
      <c r="A88" s="192" t="s">
        <v>41</v>
      </c>
      <c r="B88" s="161" t="s">
        <v>42</v>
      </c>
      <c r="C88" s="21">
        <f>'Revenue, Surplus measures'!C23/'Nominal GDP'!$C23</f>
        <v>-1.255256853872767E-2</v>
      </c>
      <c r="D88" s="21"/>
      <c r="E88" s="21"/>
      <c r="F88" s="21"/>
      <c r="G88" s="21"/>
      <c r="H88" s="21"/>
      <c r="I88" s="21">
        <f>'Revenue, Surplus measures'!I23/'Nominal GDP'!$C23</f>
        <v>0.34865850412563215</v>
      </c>
      <c r="J88" s="21"/>
      <c r="K88" s="21"/>
      <c r="L88" s="21">
        <f>'Revenue, Surplus measures'!L23/'Nominal GDP'!$C23</f>
        <v>0.37731168485493743</v>
      </c>
      <c r="M88" s="21"/>
      <c r="N88" s="64"/>
    </row>
    <row r="89" spans="1:14">
      <c r="A89" s="192"/>
      <c r="B89" s="161" t="s">
        <v>43</v>
      </c>
      <c r="C89" s="21">
        <f>'Revenue, Surplus measures'!C24/'Nominal GDP'!$C24</f>
        <v>-3.3676062086125412E-2</v>
      </c>
      <c r="D89" s="21"/>
      <c r="E89" s="21"/>
      <c r="F89" s="21"/>
      <c r="G89" s="21"/>
      <c r="H89" s="21"/>
      <c r="I89" s="21">
        <f>'Revenue, Surplus measures'!I24/'Nominal GDP'!$C24</f>
        <v>0.33961742518990506</v>
      </c>
      <c r="J89" s="21"/>
      <c r="K89" s="21"/>
      <c r="L89" s="21">
        <f>'Revenue, Surplus measures'!L24/'Nominal GDP'!$C24</f>
        <v>0.38191656024960835</v>
      </c>
      <c r="M89" s="21"/>
      <c r="N89" s="64"/>
    </row>
    <row r="90" spans="1:14">
      <c r="A90" s="192"/>
      <c r="B90" s="161" t="s">
        <v>44</v>
      </c>
      <c r="C90" s="21">
        <f>'Revenue, Surplus measures'!C25/'Nominal GDP'!$C25</f>
        <v>-3.2863605636732358E-2</v>
      </c>
      <c r="D90" s="21"/>
      <c r="E90" s="21"/>
      <c r="F90" s="21"/>
      <c r="G90" s="21"/>
      <c r="H90" s="21"/>
      <c r="I90" s="21">
        <f>'Revenue, Surplus measures'!I25/'Nominal GDP'!$C25</f>
        <v>0.32295512453850556</v>
      </c>
      <c r="J90" s="21"/>
      <c r="K90" s="21"/>
      <c r="L90" s="21">
        <f>'Revenue, Surplus measures'!L25/'Nominal GDP'!$C25</f>
        <v>0.35925068899173213</v>
      </c>
      <c r="M90" s="21"/>
      <c r="N90" s="64"/>
    </row>
    <row r="91" spans="1:14">
      <c r="A91" s="192"/>
      <c r="B91" s="161" t="s">
        <v>45</v>
      </c>
      <c r="C91" s="21">
        <f>'Revenue, Surplus measures'!C26/'Nominal GDP'!$C26</f>
        <v>-2.2974454624506924E-2</v>
      </c>
      <c r="D91" s="21"/>
      <c r="E91" s="21"/>
      <c r="F91" s="21"/>
      <c r="G91" s="21"/>
      <c r="H91" s="21"/>
      <c r="I91" s="21">
        <f>'Revenue, Surplus measures'!I26/'Nominal GDP'!$C26</f>
        <v>0.3274143341440976</v>
      </c>
      <c r="J91" s="21"/>
      <c r="K91" s="21"/>
      <c r="L91" s="21">
        <f>'Revenue, Surplus measures'!L26/'Nominal GDP'!$C26</f>
        <v>0.34819594449835539</v>
      </c>
      <c r="M91" s="21"/>
      <c r="N91" s="64"/>
    </row>
    <row r="92" spans="1:14" ht="12.75" customHeight="1">
      <c r="A92" s="186" t="s">
        <v>50</v>
      </c>
      <c r="B92" s="168" t="s">
        <v>47</v>
      </c>
      <c r="C92" s="20"/>
      <c r="D92" s="20">
        <f>'Revenue, Surplus measures'!D27/'Nominal GDP'!$C27</f>
        <v>8.775906359335589E-3</v>
      </c>
      <c r="E92" s="20"/>
      <c r="F92" s="20">
        <f>'Revenue, Surplus measures'!F27/'Nominal GDP'!$C27</f>
        <v>-6.0094617056642369E-3</v>
      </c>
      <c r="G92" s="20">
        <f>'Revenue, Surplus measures'!G27/'Nominal GDP'!$C27</f>
        <v>7.8925038648859133E-3</v>
      </c>
      <c r="H92" s="20"/>
      <c r="I92" s="36">
        <f>'Revenue, Surplus measures'!I27/'Nominal GDP'!$C27</f>
        <v>0.32047750229568411</v>
      </c>
      <c r="J92" s="36">
        <f>'Revenue, Surplus measures'!J27/'Nominal GDP'!$C27</f>
        <v>0.30851669746951682</v>
      </c>
      <c r="K92" s="36"/>
      <c r="L92" s="36"/>
      <c r="M92" s="36">
        <f>'Revenue, Surplus measures'!M27/'Nominal GDP'!$C27</f>
        <v>0.33732026827538908</v>
      </c>
      <c r="N92" s="66"/>
    </row>
    <row r="93" spans="1:14">
      <c r="A93" s="188"/>
      <c r="B93" s="161" t="s">
        <v>48</v>
      </c>
      <c r="C93" s="21"/>
      <c r="D93" s="21">
        <f>'Revenue, Surplus measures'!D28/'Nominal GDP'!$C28</f>
        <v>2.9326310978595602E-2</v>
      </c>
      <c r="E93" s="21"/>
      <c r="F93" s="21">
        <f>'Revenue, Surplus measures'!F28/'Nominal GDP'!$C28</f>
        <v>2.9794226144487849E-2</v>
      </c>
      <c r="G93" s="21">
        <f>'Revenue, Surplus measures'!G28/'Nominal GDP'!$C28</f>
        <v>4.3091722254262922E-3</v>
      </c>
      <c r="H93" s="21"/>
      <c r="I93" s="34">
        <f>'Revenue, Surplus measures'!I28/'Nominal GDP'!$C28</f>
        <v>0.32602805314645744</v>
      </c>
      <c r="J93" s="34">
        <f>'Revenue, Surplus measures'!J28/'Nominal GDP'!$C28</f>
        <v>0.31585361872531204</v>
      </c>
      <c r="K93" s="34"/>
      <c r="L93" s="34"/>
      <c r="M93" s="34">
        <f>'Revenue, Surplus measures'!M28/'Nominal GDP'!$C28</f>
        <v>0.35323242325647192</v>
      </c>
      <c r="N93" s="60"/>
    </row>
    <row r="94" spans="1:14">
      <c r="A94" s="188"/>
      <c r="B94" s="161" t="s">
        <v>49</v>
      </c>
      <c r="C94" s="21"/>
      <c r="D94" s="21">
        <f>'Revenue, Surplus measures'!D29/'Nominal GDP'!$C29</f>
        <v>3.3966054444080025E-2</v>
      </c>
      <c r="E94" s="21"/>
      <c r="F94" s="21">
        <f>'Revenue, Surplus measures'!F29/'Nominal GDP'!$C29</f>
        <v>3.0009839291571007E-2</v>
      </c>
      <c r="G94" s="21">
        <f>'Revenue, Surplus measures'!G29/'Nominal GDP'!$C29</f>
        <v>5.0549360446047888E-2</v>
      </c>
      <c r="H94" s="21"/>
      <c r="I94" s="34">
        <f>'Revenue, Surplus measures'!I29/'Nominal GDP'!$C29</f>
        <v>0.33124590029517875</v>
      </c>
      <c r="J94" s="34">
        <f>'Revenue, Surplus measures'!J29/'Nominal GDP'!$C29</f>
        <v>0.31745039357166283</v>
      </c>
      <c r="K94" s="34"/>
      <c r="L94" s="34"/>
      <c r="M94" s="34">
        <f>'Revenue, Surplus measures'!M29/'Nominal GDP'!$C29</f>
        <v>0.34641480813381437</v>
      </c>
      <c r="N94" s="60"/>
    </row>
    <row r="95" spans="1:14" ht="12.75" customHeight="1">
      <c r="A95" s="188"/>
      <c r="B95" s="13">
        <v>1997</v>
      </c>
      <c r="C95" s="21"/>
      <c r="D95" s="21">
        <f>'Revenue, Surplus measures'!D30/'Nominal GDP'!$C30</f>
        <v>1.8245923314235347E-2</v>
      </c>
      <c r="E95" s="21"/>
      <c r="F95" s="21">
        <f>'Revenue, Surplus measures'!F30/'Nominal GDP'!$C30</f>
        <v>1.7638705254394985E-2</v>
      </c>
      <c r="G95" s="21">
        <f>'Revenue, Surplus measures'!G30/'Nominal GDP'!$C30</f>
        <v>3.8323294647666616E-2</v>
      </c>
      <c r="H95" s="21"/>
      <c r="I95" s="34">
        <f>'Revenue, Surplus measures'!I30/'Nominal GDP'!$C30</f>
        <v>0.31076832672249155</v>
      </c>
      <c r="J95" s="34">
        <f>'Revenue, Surplus measures'!J30/'Nominal GDP'!$C30</f>
        <v>0.30103325008569609</v>
      </c>
      <c r="K95" s="34"/>
      <c r="L95" s="34"/>
      <c r="M95" s="34">
        <f>'Revenue, Surplus measures'!M30/'Nominal GDP'!$C30</f>
        <v>0.32447933407781243</v>
      </c>
      <c r="N95" s="60">
        <f>'Revenue, Surplus measures'!N30/'Nominal GDP'!$C30</f>
        <v>0.3858867088390876</v>
      </c>
    </row>
    <row r="96" spans="1:14" ht="12.75" customHeight="1">
      <c r="A96" s="188"/>
      <c r="B96" s="13">
        <v>1998</v>
      </c>
      <c r="C96" s="21"/>
      <c r="D96" s="21">
        <f>'Revenue, Surplus measures'!D31/'Nominal GDP'!$C31</f>
        <v>1.9520006100001906E-2</v>
      </c>
      <c r="E96" s="21"/>
      <c r="F96" s="21">
        <f>'Revenue, Surplus measures'!F31/'Nominal GDP'!$C31</f>
        <v>2.2350788234621322E-2</v>
      </c>
      <c r="G96" s="21">
        <f>'Revenue, Surplus measures'!G31/'Nominal GDP'!$C31</f>
        <v>4.6131264416020131E-3</v>
      </c>
      <c r="H96" s="21"/>
      <c r="I96" s="34">
        <f>'Revenue, Surplus measures'!I31/'Nominal GDP'!$C31</f>
        <v>0.3150936922167788</v>
      </c>
      <c r="J96" s="34">
        <f>'Revenue, Surplus measures'!J31/'Nominal GDP'!$C31</f>
        <v>0.30289368840427761</v>
      </c>
      <c r="K96" s="34"/>
      <c r="L96" s="34"/>
      <c r="M96" s="34">
        <f>'Revenue, Surplus measures'!M31/'Nominal GDP'!$C31</f>
        <v>0.32636866284547028</v>
      </c>
      <c r="N96" s="60">
        <f>'Revenue, Surplus measures'!N31/'Nominal GDP'!$C31</f>
        <v>0.39184837080787904</v>
      </c>
    </row>
    <row r="97" spans="1:14">
      <c r="A97" s="188"/>
      <c r="B97" s="13">
        <v>1999</v>
      </c>
      <c r="C97" s="21"/>
      <c r="D97" s="21">
        <f>'Revenue, Surplus measures'!D32/'Nominal GDP'!$C32</f>
        <v>1.5758438389589263E-2</v>
      </c>
      <c r="E97" s="21"/>
      <c r="F97" s="21">
        <f>'Revenue, Surplus measures'!F32/'Nominal GDP'!$C32</f>
        <v>1.1830381899515694E-3</v>
      </c>
      <c r="G97" s="21">
        <f>'Revenue, Surplus measures'!G32/'Nominal GDP'!$C32</f>
        <v>1.8928611039225111E-2</v>
      </c>
      <c r="H97" s="21"/>
      <c r="I97" s="34">
        <f>'Revenue, Surplus measures'!I32/'Nominal GDP'!$C32</f>
        <v>0.29930866205774703</v>
      </c>
      <c r="J97" s="34">
        <f>'Revenue, Surplus measures'!J32/'Nominal GDP'!$C32</f>
        <v>0.2853617508965211</v>
      </c>
      <c r="K97" s="34"/>
      <c r="L97" s="34"/>
      <c r="M97" s="34">
        <f>'Revenue, Surplus measures'!M32/'Nominal GDP'!$C32</f>
        <v>0.30388897397844122</v>
      </c>
      <c r="N97" s="60">
        <f>'Revenue, Surplus measures'!N32/'Nominal GDP'!$C32</f>
        <v>0.36938122877529139</v>
      </c>
    </row>
    <row r="98" spans="1:14">
      <c r="A98" s="188"/>
      <c r="B98" s="13">
        <v>2000</v>
      </c>
      <c r="C98" s="21"/>
      <c r="D98" s="21">
        <f>'Revenue, Surplus measures'!D33/'Nominal GDP'!$C33</f>
        <v>1.2249529058815321E-2</v>
      </c>
      <c r="E98" s="21"/>
      <c r="F98" s="21">
        <f>'Revenue, Surplus measures'!F33/'Nominal GDP'!$C33</f>
        <v>5.1766901555850287E-3</v>
      </c>
      <c r="G98" s="21">
        <f>'Revenue, Surplus measures'!G33/'Nominal GDP'!$C33</f>
        <v>-3.3663573571478408E-3</v>
      </c>
      <c r="H98" s="21"/>
      <c r="I98" s="34">
        <f>'Revenue, Surplus measures'!I33/'Nominal GDP'!$C33</f>
        <v>0.29533244959185095</v>
      </c>
      <c r="J98" s="34">
        <f>'Revenue, Surplus measures'!J33/'Nominal GDP'!$C33</f>
        <v>0.28429149515105001</v>
      </c>
      <c r="K98" s="34"/>
      <c r="L98" s="34"/>
      <c r="M98" s="34">
        <f>'Revenue, Surplus measures'!M33/'Nominal GDP'!$C33</f>
        <v>0.30476458448850097</v>
      </c>
      <c r="N98" s="60">
        <f>'Revenue, Surplus measures'!N33/'Nominal GDP'!$C33</f>
        <v>0.36289965739717323</v>
      </c>
    </row>
    <row r="99" spans="1:14">
      <c r="A99" s="188"/>
      <c r="B99" s="13" t="s">
        <v>51</v>
      </c>
      <c r="C99" s="21"/>
      <c r="D99" s="21">
        <f>'Revenue, Surplus measures'!D34/'Nominal GDP'!$C34</f>
        <v>9.8808598384734353E-3</v>
      </c>
      <c r="E99" s="21"/>
      <c r="F99" s="21">
        <f>'Revenue, Surplus measures'!F34/'Nominal GDP'!$C34</f>
        <v>1.1631958366405083E-2</v>
      </c>
      <c r="G99" s="21">
        <f>'Revenue, Surplus measures'!G34/'Nominal GDP'!$C34</f>
        <v>2.8557634871408818E-3</v>
      </c>
      <c r="H99" s="21"/>
      <c r="I99" s="34">
        <f>'Revenue, Surplus measures'!I34/'Nominal GDP'!$C34</f>
        <v>0.29662299830618039</v>
      </c>
      <c r="J99" s="34">
        <f>'Revenue, Surplus measures'!J34/'Nominal GDP'!$C34</f>
        <v>0.2892176517277778</v>
      </c>
      <c r="K99" s="34"/>
      <c r="L99" s="34"/>
      <c r="M99" s="34">
        <f>'Revenue, Surplus measures'!M34/'Nominal GDP'!$C34</f>
        <v>0.30964617067630412</v>
      </c>
      <c r="N99" s="60">
        <f>'Revenue, Surplus measures'!N34/'Nominal GDP'!$C34</f>
        <v>0.36772699942050507</v>
      </c>
    </row>
    <row r="100" spans="1:14">
      <c r="A100" s="188"/>
      <c r="B100" s="13" t="s">
        <v>52</v>
      </c>
      <c r="C100" s="21"/>
      <c r="D100" s="21">
        <f>'Revenue, Surplus measures'!D35/'Nominal GDP'!$C35</f>
        <v>1.7595732282616263E-2</v>
      </c>
      <c r="E100" s="21"/>
      <c r="F100" s="21">
        <f>'Revenue, Surplus measures'!F35/'Nominal GDP'!$C35</f>
        <v>1.901768652409137E-2</v>
      </c>
      <c r="G100" s="21">
        <f>'Revenue, Surplus measures'!G35/'Nominal GDP'!$C35</f>
        <v>1.6622673018169506E-3</v>
      </c>
      <c r="H100" s="21"/>
      <c r="I100" s="34">
        <f>'Revenue, Surplus measures'!I35/'Nominal GDP'!$C35</f>
        <v>0.2990695920518997</v>
      </c>
      <c r="J100" s="34">
        <f>'Revenue, Surplus measures'!J35/'Nominal GDP'!$C35</f>
        <v>0.28327035700268577</v>
      </c>
      <c r="K100" s="34"/>
      <c r="L100" s="34"/>
      <c r="M100" s="34">
        <f>'Revenue, Surplus measures'!M35/'Nominal GDP'!$C35</f>
        <v>0.30740158949971064</v>
      </c>
      <c r="N100" s="60">
        <f>'Revenue, Surplus measures'!N35/'Nominal GDP'!$C35</f>
        <v>0.38227269452268225</v>
      </c>
    </row>
    <row r="101" spans="1:14">
      <c r="A101" s="188"/>
      <c r="B101" s="13" t="s">
        <v>53</v>
      </c>
      <c r="C101" s="21"/>
      <c r="D101" s="21">
        <f>'Revenue, Surplus measures'!D36/'Nominal GDP'!$C36</f>
        <v>1.1817220140549436E-2</v>
      </c>
      <c r="E101" s="21"/>
      <c r="F101" s="21">
        <f>'Revenue, Surplus measures'!F36/'Nominal GDP'!$C36</f>
        <v>3.1827017772788312E-2</v>
      </c>
      <c r="G101" s="21">
        <f>'Revenue, Surplus measures'!G36/'Nominal GDP'!$C36</f>
        <v>8.8718143115413782E-3</v>
      </c>
      <c r="H101" s="21"/>
      <c r="I101" s="34">
        <f>'Revenue, Surplus measures'!I36/'Nominal GDP'!$C36</f>
        <v>0.29044439260512045</v>
      </c>
      <c r="J101" s="34">
        <f>'Revenue, Surplus measures'!J36/'Nominal GDP'!$C36</f>
        <v>0.29537236834431679</v>
      </c>
      <c r="K101" s="34"/>
      <c r="L101" s="34"/>
      <c r="M101" s="34">
        <f>'Revenue, Surplus measures'!M36/'Nominal GDP'!$C36</f>
        <v>0.3166763333729436</v>
      </c>
      <c r="N101" s="60">
        <f>'Revenue, Surplus measures'!N36/'Nominal GDP'!$C36</f>
        <v>0.41052745893426623</v>
      </c>
    </row>
    <row r="102" spans="1:14">
      <c r="A102" s="188"/>
      <c r="B102" s="13" t="s">
        <v>54</v>
      </c>
      <c r="C102" s="21"/>
      <c r="D102" s="21">
        <f>'Revenue, Surplus measures'!D37/'Nominal GDP'!$C37</f>
        <v>4.9529615084877902E-2</v>
      </c>
      <c r="E102" s="21"/>
      <c r="F102" s="21">
        <f>'Revenue, Surplus measures'!F37/'Nominal GDP'!$C37</f>
        <v>3.7767205299359653E-2</v>
      </c>
      <c r="G102" s="21">
        <f>'Revenue, Surplus measures'!G37/'Nominal GDP'!$C37</f>
        <v>3.5238708365804899E-3</v>
      </c>
      <c r="H102" s="21"/>
      <c r="I102" s="34">
        <f>'Revenue, Surplus measures'!I37/'Nominal GDP'!$C37</f>
        <v>0.28988581303154543</v>
      </c>
      <c r="J102" s="34">
        <f>'Revenue, Surplus measures'!J37/'Nominal GDP'!$C37</f>
        <v>0.29382306102395556</v>
      </c>
      <c r="K102" s="34"/>
      <c r="L102" s="34"/>
      <c r="M102" s="34">
        <f>'Revenue, Surplus measures'!M37/'Nominal GDP'!$C37</f>
        <v>0.31321432390314041</v>
      </c>
      <c r="N102" s="60">
        <f>'Revenue, Surplus measures'!N37/'Nominal GDP'!$C37</f>
        <v>0.39835924986796933</v>
      </c>
    </row>
    <row r="103" spans="1:14" ht="12.75" customHeight="1">
      <c r="A103" s="191" t="s">
        <v>55</v>
      </c>
      <c r="B103" s="11" t="s">
        <v>56</v>
      </c>
      <c r="C103" s="20"/>
      <c r="D103" s="20">
        <f>'Revenue, Surplus measures'!D38/'Nominal GDP'!$C38</f>
        <v>3.7823969248037347E-2</v>
      </c>
      <c r="E103" s="20"/>
      <c r="F103" s="20">
        <f>'Revenue, Surplus measures'!F38/'Nominal GDP'!$C38</f>
        <v>4.5118944471725667E-2</v>
      </c>
      <c r="G103" s="20">
        <f>'Revenue, Surplus measures'!G38/'Nominal GDP'!$C38</f>
        <v>1.9795539626155111E-2</v>
      </c>
      <c r="H103" s="20"/>
      <c r="I103" s="36">
        <f>'Revenue, Surplus measures'!I38/'Nominal GDP'!$C38</f>
        <v>0.29889096509633106</v>
      </c>
      <c r="J103" s="36">
        <f>'Revenue, Surplus measures'!J38/'Nominal GDP'!$C38</f>
        <v>0.30272379992729731</v>
      </c>
      <c r="K103" s="36"/>
      <c r="L103" s="36"/>
      <c r="M103" s="36">
        <f>'Revenue, Surplus measures'!M38/'Nominal GDP'!$C38</f>
        <v>0.32403079022722781</v>
      </c>
      <c r="N103" s="66">
        <f>'Revenue, Surplus measures'!N38/'Nominal GDP'!$C38</f>
        <v>0.41300867968087346</v>
      </c>
    </row>
    <row r="104" spans="1:14">
      <c r="A104" s="192"/>
      <c r="B104" s="13" t="s">
        <v>57</v>
      </c>
      <c r="C104" s="21"/>
      <c r="D104" s="21">
        <f>'Revenue, Surplus measures'!D39/'Nominal GDP'!$C39</f>
        <v>5.8016934264849905E-2</v>
      </c>
      <c r="E104" s="21"/>
      <c r="F104" s="21">
        <f>'Revenue, Surplus measures'!F39/'Nominal GDP'!$C39</f>
        <v>4.3116235143722287E-2</v>
      </c>
      <c r="G104" s="21">
        <f>'Revenue, Surplus measures'!G39/'Nominal GDP'!$C39</f>
        <v>1.8149979022637309E-2</v>
      </c>
      <c r="H104" s="21"/>
      <c r="I104" s="34">
        <f>'Revenue, Surplus measures'!I39/'Nominal GDP'!$C39</f>
        <v>0.30223211299806035</v>
      </c>
      <c r="J104" s="34">
        <f>'Revenue, Surplus measures'!J39/'Nominal GDP'!$C39</f>
        <v>0.30993597344083473</v>
      </c>
      <c r="K104" s="34"/>
      <c r="L104" s="34"/>
      <c r="M104" s="34">
        <f>'Revenue, Surplus measures'!M39/'Nominal GDP'!$C39</f>
        <v>0.33745584113143989</v>
      </c>
      <c r="N104" s="60">
        <f>'Revenue, Surplus measures'!N39/'Nominal GDP'!$C39</f>
        <v>0.43045548238813591</v>
      </c>
    </row>
    <row r="105" spans="1:14">
      <c r="A105" s="192"/>
      <c r="B105" s="13" t="s">
        <v>58</v>
      </c>
      <c r="C105" s="21"/>
      <c r="D105" s="21">
        <f>'Revenue, Surplus measures'!D40/'Nominal GDP'!$C40</f>
        <v>4.5731029489730186E-2</v>
      </c>
      <c r="E105" s="21"/>
      <c r="F105" s="21">
        <f>'Revenue, Surplus measures'!F40/'Nominal GDP'!$C40</f>
        <v>3.3406112292423198E-2</v>
      </c>
      <c r="G105" s="21">
        <f>'Revenue, Surplus measures'!G40/'Nominal GDP'!$C40</f>
        <v>1.5922060005586689E-2</v>
      </c>
      <c r="H105" s="21"/>
      <c r="I105" s="34">
        <f>'Revenue, Surplus measures'!I40/'Nominal GDP'!$C40</f>
        <v>0.2973315015078356</v>
      </c>
      <c r="J105" s="34">
        <f>'Revenue, Surplus measures'!J40/'Nominal GDP'!$C40</f>
        <v>0.30485642782626543</v>
      </c>
      <c r="K105" s="34"/>
      <c r="L105" s="34"/>
      <c r="M105" s="34">
        <f>'Revenue, Surplus measures'!M40/'Nominal GDP'!$C40</f>
        <v>0.33047538151946504</v>
      </c>
      <c r="N105" s="60">
        <f>'Revenue, Surplus measures'!N40/'Nominal GDP'!$C40</f>
        <v>0.42136737032328681</v>
      </c>
    </row>
    <row r="106" spans="1:14">
      <c r="A106" s="192"/>
      <c r="B106" s="13" t="s">
        <v>59</v>
      </c>
      <c r="C106" s="21"/>
      <c r="D106" s="21">
        <f>'Revenue, Surplus measures'!D41/'Nominal GDP'!$C41</f>
        <v>1.2618563685636856E-2</v>
      </c>
      <c r="E106" s="163">
        <f>'Revenue, Surplus measures'!E41/'Nominal GDP'!$C41</f>
        <v>3.0662474593495935E-2</v>
      </c>
      <c r="F106" s="21">
        <f>'Revenue, Surplus measures'!F41/'Nominal GDP'!$C41</f>
        <v>2.9836763211382115E-2</v>
      </c>
      <c r="G106" s="21">
        <f>'Revenue, Surplus measures'!G41/'Nominal GDP'!$C41</f>
        <v>1.0887745596205962E-2</v>
      </c>
      <c r="H106" s="21"/>
      <c r="I106" s="34">
        <f>'Revenue, Surplus measures'!I41/'Nominal GDP'!$C41</f>
        <v>0.29200542005420055</v>
      </c>
      <c r="J106" s="34">
        <f>'Revenue, Surplus measures'!J41/'Nominal GDP'!$C41</f>
        <v>0.30036310128726285</v>
      </c>
      <c r="K106" s="34"/>
      <c r="L106" s="34"/>
      <c r="M106" s="34">
        <f>'Revenue, Surplus measures'!M41/'Nominal GDP'!$C41</f>
        <v>0.3259178099593496</v>
      </c>
      <c r="N106" s="60">
        <f>'Revenue, Surplus measures'!N41/'Nominal GDP'!$C41</f>
        <v>0.42732151930894308</v>
      </c>
    </row>
    <row r="107" spans="1:14">
      <c r="A107" s="192"/>
      <c r="B107" s="13" t="s">
        <v>60</v>
      </c>
      <c r="C107" s="21"/>
      <c r="D107" s="21">
        <f>'Revenue, Surplus measures'!D42/'Nominal GDP'!$C42</f>
        <v>-5.5325289529537545E-2</v>
      </c>
      <c r="E107" s="163">
        <f>'Revenue, Surplus measures'!E42/'Nominal GDP'!$C42</f>
        <v>-2.0012955755568079E-2</v>
      </c>
      <c r="F107" s="21">
        <f>'Revenue, Surplus measures'!F42/'Nominal GDP'!$C42</f>
        <v>-2.0502746514849086E-2</v>
      </c>
      <c r="G107" s="21">
        <f>'Revenue, Surplus measures'!G42/'Nominal GDP'!$C42</f>
        <v>-4.5497874940092796E-2</v>
      </c>
      <c r="H107" s="21"/>
      <c r="I107" s="34">
        <f>'Revenue, Surplus measures'!I42/'Nominal GDP'!$C42</f>
        <v>0.26922165401812753</v>
      </c>
      <c r="J107" s="34">
        <f>'Revenue, Surplus measures'!J42/'Nominal GDP'!$C42</f>
        <v>0.28798116675532054</v>
      </c>
      <c r="K107" s="34"/>
      <c r="L107" s="34"/>
      <c r="M107" s="34">
        <f>'Revenue, Surplus measures'!M42/'Nominal GDP'!$C42</f>
        <v>0.31173338529679739</v>
      </c>
      <c r="N107" s="60">
        <f>'Revenue, Surplus measures'!N42/'Nominal GDP'!$C42</f>
        <v>0.41447358026511899</v>
      </c>
    </row>
    <row r="108" spans="1:14">
      <c r="A108" s="192"/>
      <c r="B108" s="13" t="s">
        <v>61</v>
      </c>
      <c r="C108" s="21"/>
      <c r="D108" s="21">
        <f>'Revenue, Surplus measures'!D43/'Nominal GDP'!$C43</f>
        <v>-2.2847269373815579E-2</v>
      </c>
      <c r="E108" s="163">
        <f>'Revenue, Surplus measures'!E43/'Nominal GDP'!$C43</f>
        <v>-3.8843904861315198E-2</v>
      </c>
      <c r="F108" s="21">
        <f>'Revenue, Surplus measures'!F43/'Nominal GDP'!$C43</f>
        <v>-3.1998338011897401E-2</v>
      </c>
      <c r="G108" s="21">
        <f>'Revenue, Surplus measures'!G43/'Nominal GDP'!$C43</f>
        <v>-4.5603332083464232E-2</v>
      </c>
      <c r="H108" s="21"/>
      <c r="I108" s="34">
        <f>'Revenue, Surplus measures'!I43/'Nominal GDP'!$C43</f>
        <v>0.25387881674554352</v>
      </c>
      <c r="J108" s="34">
        <f>'Revenue, Surplus measures'!J43/'Nominal GDP'!$C43</f>
        <v>0.25712172036036768</v>
      </c>
      <c r="K108" s="34"/>
      <c r="L108" s="34"/>
      <c r="M108" s="34">
        <f>'Revenue, Surplus measures'!M43/'Nominal GDP'!$C43</f>
        <v>0.28252277633085726</v>
      </c>
      <c r="N108" s="60">
        <f>'Revenue, Surplus measures'!N43/'Nominal GDP'!$C43</f>
        <v>0.37360783161222982</v>
      </c>
    </row>
    <row r="109" spans="1:14">
      <c r="A109" s="192"/>
      <c r="B109" s="13" t="s">
        <v>62</v>
      </c>
      <c r="C109" s="21"/>
      <c r="D109" s="21">
        <f>'Revenue, Surplus measures'!D44/'Nominal GDP'!$C44</f>
        <v>-6.4817555077941166E-2</v>
      </c>
      <c r="E109" s="163">
        <f>'Revenue, Surplus measures'!E44/'Nominal GDP'!$C44</f>
        <v>-9.6998306786921992E-2</v>
      </c>
      <c r="F109" s="21">
        <f>'Revenue, Surplus measures'!F44/'Nominal GDP'!$C44</f>
        <v>-8.9250280180674088E-2</v>
      </c>
      <c r="G109" s="21">
        <f>'Revenue, Surplus measures'!G44/'Nominal GDP'!$C44</f>
        <v>-6.4735077650072526E-2</v>
      </c>
      <c r="H109" s="21"/>
      <c r="I109" s="34">
        <f>'Revenue, Surplus measures'!I44/'Nominal GDP'!$C44</f>
        <v>0.24460864460476331</v>
      </c>
      <c r="J109" s="34">
        <f>'Revenue, Surplus measures'!J44/'Nominal GDP'!$C44</f>
        <v>0.25013463227196203</v>
      </c>
      <c r="K109" s="34"/>
      <c r="L109" s="34"/>
      <c r="M109" s="34">
        <f>'Revenue, Surplus measures'!M44/'Nominal GDP'!$C44</f>
        <v>0.27750743509754167</v>
      </c>
      <c r="N109" s="60">
        <f>'Revenue, Surplus measures'!N44/'Nominal GDP'!$C44</f>
        <v>0.39126806619541327</v>
      </c>
    </row>
    <row r="110" spans="1:14">
      <c r="A110" s="192"/>
      <c r="B110" s="13" t="s">
        <v>63</v>
      </c>
      <c r="C110" s="21"/>
      <c r="D110" s="21">
        <f>'Revenue, Surplus measures'!D45/'Nominal GDP'!$C45</f>
        <v>-6.9226229477724652E-2</v>
      </c>
      <c r="E110" s="163">
        <f>'Revenue, Surplus measures'!E45/'Nominal GDP'!$C45</f>
        <v>-5.5224844674315612E-2</v>
      </c>
      <c r="F110" s="21">
        <f>'Revenue, Surplus measures'!F45/'Nominal GDP'!$C45</f>
        <v>-4.2938199662628435E-2</v>
      </c>
      <c r="G110" s="21">
        <f>'Revenue, Surplus measures'!G45/'Nominal GDP'!$C45</f>
        <v>-4.9462575455521324E-2</v>
      </c>
      <c r="H110" s="21"/>
      <c r="I110" s="34">
        <f>'Revenue, Surplus measures'!I45/'Nominal GDP'!$C45</f>
        <v>0.24899508813019011</v>
      </c>
      <c r="J110" s="34">
        <f>'Revenue, Surplus measures'!J45/'Nominal GDP'!$C45</f>
        <v>0.25596092809710352</v>
      </c>
      <c r="K110" s="34"/>
      <c r="L110" s="34"/>
      <c r="M110" s="34">
        <f>'Revenue, Surplus measures'!M45/'Nominal GDP'!$C45</f>
        <v>0.28080839060750118</v>
      </c>
      <c r="N110" s="60">
        <f>'Revenue, Surplus measures'!N45/'Nominal GDP'!$C45</f>
        <v>0.38453388353710388</v>
      </c>
    </row>
    <row r="111" spans="1:14">
      <c r="A111" s="192"/>
      <c r="B111" s="13" t="s">
        <v>64</v>
      </c>
      <c r="C111" s="21"/>
      <c r="D111" s="21">
        <f>'Revenue, Surplus measures'!D46/'Nominal GDP'!$C46</f>
        <v>3.1594603596081815E-2</v>
      </c>
      <c r="E111" s="163">
        <f>'Revenue, Surplus measures'!E46/'Nominal GDP'!$C46</f>
        <v>-2.6717400528325646E-2</v>
      </c>
      <c r="F111" s="21">
        <f>'Revenue, Surplus measures'!F46/'Nominal GDP'!$C46</f>
        <v>-2.0138423144130703E-2</v>
      </c>
      <c r="G111" s="21">
        <f>'Revenue, Surplus measures'!G46/'Nominal GDP'!$C46</f>
        <v>-2.6197287198368488E-2</v>
      </c>
      <c r="H111" s="21"/>
      <c r="I111" s="34">
        <f>'Revenue, Surplus measures'!I46/'Nominal GDP'!$C46</f>
        <v>0.25737853756906331</v>
      </c>
      <c r="J111" s="34">
        <f>'Revenue, Surplus measures'!J46/'Nominal GDP'!$C46</f>
        <v>0.26758918346769595</v>
      </c>
      <c r="K111" s="34"/>
      <c r="L111" s="34"/>
      <c r="M111" s="34">
        <f>'Revenue, Surplus measures'!M46/'Nominal GDP'!$C46</f>
        <v>0.29110378085891697</v>
      </c>
      <c r="N111" s="60">
        <f>'Revenue, Surplus measures'!N46/'Nominal GDP'!$C46</f>
        <v>0.39089710424622348</v>
      </c>
    </row>
    <row r="112" spans="1:14">
      <c r="A112" s="192"/>
      <c r="B112" s="13" t="s">
        <v>65</v>
      </c>
      <c r="C112" s="163"/>
      <c r="D112" s="163">
        <f>'Revenue, Surplus measures'!D47/'Nominal GDP'!$C47</f>
        <v>1.2394149994939442E-2</v>
      </c>
      <c r="E112" s="163">
        <f>'Revenue, Surplus measures'!E47/'Nominal GDP'!$C47</f>
        <v>-1.6164265713032623E-2</v>
      </c>
      <c r="F112" s="163">
        <f>'Revenue, Surplus measures'!F47/'Nominal GDP'!$C47</f>
        <v>-1.1816402955365879E-2</v>
      </c>
      <c r="G112" s="163">
        <f>'Revenue, Surplus measures'!G47/'Nominal GDP'!$C47</f>
        <v>-1.7328194055531189E-2</v>
      </c>
      <c r="H112" s="163"/>
      <c r="I112" s="163">
        <f>'Revenue, Surplus measures'!I47/'Nominal GDP'!$C47</f>
        <v>0.2524079821868358</v>
      </c>
      <c r="J112" s="163">
        <f>'Revenue, Surplus measures'!J47/'Nominal GDP'!$C47</f>
        <v>0.25961927735231605</v>
      </c>
      <c r="K112" s="163"/>
      <c r="L112" s="163"/>
      <c r="M112" s="163">
        <f>'Revenue, Surplus measures'!M47/'Nominal GDP'!$C47</f>
        <v>0.28294001551904457</v>
      </c>
      <c r="N112" s="164">
        <f>'Revenue, Surplus measures'!N47/'Nominal GDP'!$C47</f>
        <v>0.37336797004149658</v>
      </c>
    </row>
    <row r="113" spans="1:18">
      <c r="A113" s="192"/>
      <c r="B113" s="13" t="s">
        <v>66</v>
      </c>
      <c r="C113" s="163"/>
      <c r="D113" s="163">
        <f>'Revenue, Surplus measures'!D48/'Nominal GDP'!$C48</f>
        <v>2.3471466976853903E-2</v>
      </c>
      <c r="E113" s="163">
        <f>'Revenue, Surplus measures'!E48/'Nominal GDP'!$C48</f>
        <v>1.3543577375311644E-3</v>
      </c>
      <c r="F113" s="163">
        <f>'Revenue, Surplus measures'!F48/'Nominal GDP'!$C48</f>
        <v>1.683796106119826E-3</v>
      </c>
      <c r="G113" s="163">
        <f>'Revenue, Surplus measures'!G48/'Nominal GDP'!$C48</f>
        <v>-7.4306654248331456E-3</v>
      </c>
      <c r="H113" s="163"/>
      <c r="I113" s="163">
        <f>'Revenue, Surplus measures'!I48/'Nominal GDP'!$C48</f>
        <v>0.26414043022210654</v>
      </c>
      <c r="J113" s="163">
        <f>'Revenue, Surplus measures'!J48/'Nominal GDP'!$C48</f>
        <v>0.27101796455893895</v>
      </c>
      <c r="K113" s="163"/>
      <c r="L113" s="163"/>
      <c r="M113" s="163">
        <f>'Revenue, Surplus measures'!M48/'Nominal GDP'!$C48</f>
        <v>0.29370040630732125</v>
      </c>
      <c r="N113" s="164">
        <f>'Revenue, Surplus measures'!N48/'Nominal GDP'!$C48</f>
        <v>0.3815181008081408</v>
      </c>
    </row>
    <row r="114" spans="1:18">
      <c r="A114" s="192"/>
      <c r="B114" s="13" t="s">
        <v>67</v>
      </c>
      <c r="C114" s="163"/>
      <c r="D114" s="163">
        <f>'Revenue, Surplus measures'!D49/'Nominal GDP'!$C49</f>
        <v>-2.0736855521781616E-2</v>
      </c>
      <c r="E114" s="163">
        <f>'Revenue, Surplus measures'!E49/'Nominal GDP'!$C49</f>
        <v>8.1920042022162048E-3</v>
      </c>
      <c r="F114" s="163">
        <f>'Revenue, Surplus measures'!F49/'Nominal GDP'!$C49</f>
        <v>7.0719281915407224E-3</v>
      </c>
      <c r="G114" s="163">
        <f>'Revenue, Surplus measures'!G49/'Nominal GDP'!$C49</f>
        <v>-5.1060016762516846E-3</v>
      </c>
      <c r="H114" s="163"/>
      <c r="I114" s="163">
        <f>'Revenue, Surplus measures'!I49/'Nominal GDP'!$C49</f>
        <v>0.26660512685826404</v>
      </c>
      <c r="J114" s="163">
        <f>'Revenue, Surplus measures'!J49/'Nominal GDP'!$C49</f>
        <v>0.27208191231736001</v>
      </c>
      <c r="K114" s="163"/>
      <c r="L114" s="163"/>
      <c r="M114" s="163">
        <f>'Revenue, Surplus measures'!M49/'Nominal GDP'!$C49</f>
        <v>0.29400450347802914</v>
      </c>
      <c r="N114" s="164">
        <f>'Revenue, Surplus measures'!N49/'Nominal GDP'!$C49</f>
        <v>0.37625284364125122</v>
      </c>
    </row>
    <row r="115" spans="1:18">
      <c r="A115" s="192"/>
      <c r="B115" s="13" t="s">
        <v>68</v>
      </c>
      <c r="C115" s="163"/>
      <c r="D115" s="163">
        <f>'Revenue, Surplus measures'!D50/'Nominal GDP'!$C50</f>
        <v>4.4664841441082077E-2</v>
      </c>
      <c r="E115" s="163">
        <f>'Revenue, Surplus measures'!E50/'Nominal GDP'!$C50</f>
        <v>1.6873062208764708E-2</v>
      </c>
      <c r="F115" s="163">
        <f>'Revenue, Surplus measures'!F50/'Nominal GDP'!$C50</f>
        <v>1.4755317027178938E-2</v>
      </c>
      <c r="G115" s="163">
        <f>'Revenue, Surplus measures'!G50/'Nominal GDP'!$C50</f>
        <v>9.3340344133592008E-3</v>
      </c>
      <c r="H115" s="163"/>
      <c r="I115" s="163">
        <f>'Revenue, Surplus measures'!I50/'Nominal GDP'!$C50</f>
        <v>0.26507714902181206</v>
      </c>
      <c r="J115" s="163">
        <f>'Revenue, Surplus measures'!J50/'Nominal GDP'!$C50</f>
        <v>0.27430602143129112</v>
      </c>
      <c r="K115" s="163"/>
      <c r="L115" s="169"/>
      <c r="M115" s="163">
        <f>'Revenue, Surplus measures'!M50/'Nominal GDP'!$C50</f>
        <v>0.29656410349391693</v>
      </c>
      <c r="N115" s="164">
        <f>'Revenue, Surplus measures'!N50/'Nominal GDP'!$C50</f>
        <v>0.37503671604445815</v>
      </c>
    </row>
    <row r="116" spans="1:18">
      <c r="A116" s="192"/>
      <c r="B116" s="13" t="s">
        <v>69</v>
      </c>
      <c r="C116" s="163"/>
      <c r="D116" s="163">
        <f>'Revenue, Surplus measures'!D51/'Nominal GDP'!$C51</f>
        <v>2.8404304625679576E-2</v>
      </c>
      <c r="E116" s="163">
        <f>'Revenue, Surplus measures'!E51/'Nominal GDP'!$C51</f>
        <v>2.0102236551427826E-2</v>
      </c>
      <c r="F116" s="163">
        <f>'Revenue, Surplus measures'!F51/'Nominal GDP'!$C51</f>
        <v>1.8721941614877415E-2</v>
      </c>
      <c r="G116" s="163">
        <f>'Revenue, Surplus measures'!G51/'Nominal GDP'!$C51</f>
        <v>4.5536200602864108E-3</v>
      </c>
      <c r="H116" s="163"/>
      <c r="I116" s="163">
        <f>'Revenue, Surplus measures'!I51/'Nominal GDP'!$C51</f>
        <v>0.26579473525740133</v>
      </c>
      <c r="J116" s="163">
        <f>'Revenue, Surplus measures'!J51/'Nominal GDP'!$C51</f>
        <v>0.27140387497504981</v>
      </c>
      <c r="K116" s="163"/>
      <c r="L116" s="163"/>
      <c r="M116" s="163">
        <f>'Revenue, Surplus measures'!M51/'Nominal GDP'!$C51</f>
        <v>0.29357655393130327</v>
      </c>
      <c r="N116" s="164">
        <f>'Revenue, Surplus measures'!N51/'Nominal GDP'!$C51</f>
        <v>0.37204699768935923</v>
      </c>
    </row>
    <row r="117" spans="1:18" ht="14.25">
      <c r="A117" s="192"/>
      <c r="B117" s="85" t="s">
        <v>70</v>
      </c>
      <c r="C117" s="163"/>
      <c r="D117" s="170">
        <f>'Revenue, Surplus measures'!D52/'Nominal GDP'!$C52</f>
        <v>1.2535326095713176E-3</v>
      </c>
      <c r="E117" s="163">
        <f>'Revenue, Surplus measures'!E52/'Nominal GDP'!$C52</f>
        <v>2.7403705171708186E-2</v>
      </c>
      <c r="F117" s="170">
        <f>'Revenue, Surplus measures'!F52/'Nominal GDP'!$C52</f>
        <v>2.3939572638831154E-2</v>
      </c>
      <c r="G117" s="170">
        <f>'Revenue, Surplus measures'!G52/'Nominal GDP'!$C52</f>
        <v>-2.2879386961327389E-3</v>
      </c>
      <c r="H117" s="170"/>
      <c r="I117" s="170">
        <f>'Revenue, Surplus measures'!I52/'Nominal GDP'!$C52</f>
        <v>0.26751803765753746</v>
      </c>
      <c r="J117" s="170">
        <f>'Revenue, Surplus measures'!J52/'Nominal GDP'!$C52</f>
        <v>0.27863870870028967</v>
      </c>
      <c r="K117" s="170"/>
      <c r="L117" s="170"/>
      <c r="M117" s="170">
        <f>'Revenue, Surplus measures'!M52/'Nominal GDP'!$C52</f>
        <v>0.3012151854680446</v>
      </c>
      <c r="N117" s="171">
        <f>'Revenue, Surplus measures'!N52/'Nominal GDP'!$C52</f>
        <v>0.38392900300654481</v>
      </c>
    </row>
    <row r="118" spans="1:18">
      <c r="A118" s="192"/>
      <c r="B118" s="85" t="s">
        <v>71</v>
      </c>
      <c r="C118" s="163"/>
      <c r="D118" s="163">
        <f>D53/'Nominal GDP'!$C53</f>
        <v>-9.4573662934931815E-2</v>
      </c>
      <c r="E118" s="163">
        <f>'Revenue, Surplus measures'!E53/'Nominal GDP'!$C53</f>
        <v>-6.5804883577428253E-2</v>
      </c>
      <c r="F118" s="172">
        <f>F53/'Nominal GDP'!$C53</f>
        <v>-7.2589379037640567E-2</v>
      </c>
      <c r="G118" s="172">
        <f>G53/'Nominal GDP'!$C53</f>
        <v>-7.4588522711531435E-2</v>
      </c>
      <c r="H118" s="172"/>
      <c r="I118" s="172">
        <f>I53/'Nominal GDP'!$C53</f>
        <v>0.2617965218048332</v>
      </c>
      <c r="J118" s="172">
        <f>J53/'Nominal GDP'!$C53</f>
        <v>0.2679230313944263</v>
      </c>
      <c r="K118" s="172"/>
      <c r="L118" s="172"/>
      <c r="M118" s="172">
        <f>M53/'Nominal GDP'!$C53</f>
        <v>0.28939729753554383</v>
      </c>
      <c r="N118" s="173">
        <f>N53/'Nominal GDP'!$C53</f>
        <v>0.3652073442556889</v>
      </c>
    </row>
    <row r="119" spans="1:18">
      <c r="A119" s="192"/>
      <c r="B119" s="85">
        <v>2021</v>
      </c>
      <c r="C119" s="163"/>
      <c r="D119" s="163">
        <f>D54/'Nominal GDP'!$C54</f>
        <v>4.7071949382870695E-2</v>
      </c>
      <c r="E119" s="163">
        <f>'Revenue, Surplus measures'!E54/'Nominal GDP'!$C54</f>
        <v>-7.4544909010932671E-3</v>
      </c>
      <c r="F119" s="172">
        <f>F54/'Nominal GDP'!$C54</f>
        <v>-1.3283500785066548E-2</v>
      </c>
      <c r="G119" s="172">
        <f>G54/'Nominal GDP'!$C54</f>
        <v>-4.0103937567546308E-2</v>
      </c>
      <c r="H119" s="172"/>
      <c r="I119" s="172">
        <f>I54/'Nominal GDP'!$C54</f>
        <v>0.27785238418447755</v>
      </c>
      <c r="J119" s="172">
        <f>J54/'Nominal GDP'!$C54</f>
        <v>0.28542922311911745</v>
      </c>
      <c r="K119" s="172"/>
      <c r="L119" s="172"/>
      <c r="M119" s="172">
        <f>M54/'Nominal GDP'!$C54</f>
        <v>0.30577686631729506</v>
      </c>
      <c r="N119" s="173">
        <f>N54/'Nominal GDP'!$C54</f>
        <v>0.37675911711328552</v>
      </c>
    </row>
    <row r="120" spans="1:18">
      <c r="A120" s="192"/>
      <c r="B120" s="85">
        <v>2022</v>
      </c>
      <c r="C120" s="163"/>
      <c r="D120" s="163">
        <f>D55/'Nominal GDP'!$C55</f>
        <v>-4.629492921239562E-2</v>
      </c>
      <c r="E120" s="163">
        <f>'Revenue, Surplus measures'!E55/'Nominal GDP'!$C55</f>
        <v>-2.3688829830864379E-2</v>
      </c>
      <c r="F120" s="172">
        <f>F55/'Nominal GDP'!$C55</f>
        <v>-2.6496820162847035E-2</v>
      </c>
      <c r="G120" s="172">
        <f>G55/'Nominal GDP'!$C55</f>
        <v>-7.3940099851808105E-2</v>
      </c>
      <c r="H120" s="172"/>
      <c r="I120" s="172">
        <f>I55/'Nominal GDP'!$C55</f>
        <v>0.28083184321188159</v>
      </c>
      <c r="J120" s="172">
        <f>J55/'Nominal GDP'!$C55</f>
        <v>0.29654237139841744</v>
      </c>
      <c r="K120" s="172"/>
      <c r="L120" s="172"/>
      <c r="M120" s="172">
        <f>M55/'Nominal GDP'!$C55</f>
        <v>0.32130572917521094</v>
      </c>
      <c r="N120" s="173">
        <f>N55/'Nominal GDP'!$C55</f>
        <v>0.38723198320127306</v>
      </c>
    </row>
    <row r="121" spans="1:18">
      <c r="A121" s="192"/>
      <c r="B121" s="85">
        <v>2023</v>
      </c>
      <c r="C121" s="163"/>
      <c r="D121" s="163">
        <f>D56/'Nominal GDP'!$C56</f>
        <v>1.3248116481842039E-2</v>
      </c>
      <c r="E121" s="163">
        <f>'Revenue, Surplus measures'!E56/'Nominal GDP'!$C56</f>
        <v>-1.7923922298962759E-2</v>
      </c>
      <c r="F121" s="172">
        <f>F56/'Nominal GDP'!$C56</f>
        <v>-2.3518456735102406E-2</v>
      </c>
      <c r="G121" s="172">
        <f>G56/'Nominal GDP'!$C56</f>
        <v>-6.3857863470453788E-2</v>
      </c>
      <c r="H121" s="172"/>
      <c r="I121" s="172">
        <f>I56/'Nominal GDP'!$C56</f>
        <v>0.27583270673883709</v>
      </c>
      <c r="J121" s="172">
        <f>J56/'Nominal GDP'!$C56</f>
        <v>0.27974664004262501</v>
      </c>
      <c r="K121" s="172"/>
      <c r="L121" s="172"/>
      <c r="M121" s="172">
        <f>M56/'Nominal GDP'!$C56</f>
        <v>0.30723380522953275</v>
      </c>
      <c r="N121" s="173">
        <f>N56/'Nominal GDP'!$C56</f>
        <v>0.3809636442403932</v>
      </c>
    </row>
    <row r="122" spans="1:18">
      <c r="A122" s="192"/>
      <c r="B122" s="85">
        <v>2024</v>
      </c>
      <c r="C122" s="163"/>
      <c r="D122" s="163">
        <f>D57/'Nominal GDP'!$C57</f>
        <v>-1.9910266938008021E-2</v>
      </c>
      <c r="E122" s="163">
        <f>E57/'Nominal GDP'!$C57</f>
        <v>-2.0881383364870814E-2</v>
      </c>
      <c r="F122" s="172">
        <f>F57/'Nominal GDP'!$C57</f>
        <v>-3.05949278208195E-2</v>
      </c>
      <c r="G122" s="172">
        <f>G57/'Nominal GDP'!$C57</f>
        <v>-4.5942375664964834E-2</v>
      </c>
      <c r="H122" s="172"/>
      <c r="I122" s="172">
        <f>I57/'Nominal GDP'!$C57</f>
        <v>0.27620169707355968</v>
      </c>
      <c r="J122" s="172">
        <f>J57/'Nominal GDP'!$C57</f>
        <v>0.28696966451259714</v>
      </c>
      <c r="K122" s="172"/>
      <c r="L122" s="172"/>
      <c r="M122" s="172">
        <f>M57/'Nominal GDP'!$C57</f>
        <v>0.31708855486926824</v>
      </c>
      <c r="N122" s="173">
        <f>N57/'Nominal GDP'!$C57</f>
        <v>0.39831720756423533</v>
      </c>
    </row>
    <row r="123" spans="1:18">
      <c r="A123" s="193"/>
      <c r="B123" s="121">
        <v>2025</v>
      </c>
      <c r="C123" s="165"/>
      <c r="D123" s="165">
        <f>D58/'Nominal GDP'!$C58</f>
        <v>-1.0089359623758608E-2</v>
      </c>
      <c r="E123" s="165">
        <f>E58/'Nominal GDP'!$C58</f>
        <v>-2.1338995604249456E-2</v>
      </c>
      <c r="F123" s="165">
        <f>F58/'Nominal GDP'!$C58</f>
        <v>-3.2040595914267958E-2</v>
      </c>
      <c r="G123" s="165">
        <f>G58/'Nominal GDP'!$C58</f>
        <v>-1.374904552364923E-2</v>
      </c>
      <c r="H123" s="174"/>
      <c r="I123" s="165">
        <f>I58/'Nominal GDP'!$C58</f>
        <v>0.27787701529225894</v>
      </c>
      <c r="J123" s="165">
        <f>J58/'Nominal GDP'!$C58</f>
        <v>0.27905792897549431</v>
      </c>
      <c r="K123" s="174"/>
      <c r="L123" s="174"/>
      <c r="M123" s="165">
        <f>M58/'Nominal GDP'!$C58</f>
        <v>0.30820929917932233</v>
      </c>
      <c r="N123" s="167">
        <f>N58/'Nominal GDP'!$C58</f>
        <v>0.38938278342501659</v>
      </c>
    </row>
    <row r="124" spans="1:18">
      <c r="A124" s="159"/>
      <c r="B124" s="13"/>
      <c r="C124" s="163"/>
      <c r="D124" s="163"/>
      <c r="E124" s="163"/>
      <c r="F124" s="163"/>
      <c r="G124" s="163"/>
      <c r="H124" s="163"/>
      <c r="I124" s="163"/>
      <c r="J124" s="163"/>
      <c r="K124" s="163"/>
      <c r="L124" s="163"/>
      <c r="M124" s="163"/>
      <c r="N124" s="163"/>
      <c r="R124" s="131"/>
    </row>
    <row r="125" spans="1:18">
      <c r="A125" s="105" t="s">
        <v>95</v>
      </c>
    </row>
    <row r="126" spans="1:18">
      <c r="A126" s="105" t="s">
        <v>96</v>
      </c>
      <c r="C126" s="18"/>
      <c r="D126" s="18"/>
      <c r="E126" s="18"/>
      <c r="F126" s="18"/>
      <c r="G126" s="18"/>
      <c r="H126" s="18"/>
      <c r="I126" s="18"/>
      <c r="J126" s="18"/>
      <c r="K126" s="18"/>
      <c r="M126" s="18"/>
      <c r="N126" s="18"/>
    </row>
    <row r="127" spans="1:18">
      <c r="A127" s="105" t="s">
        <v>74</v>
      </c>
      <c r="B127" s="35" t="s">
        <v>75</v>
      </c>
    </row>
    <row r="128" spans="1:18">
      <c r="A128" s="105" t="s">
        <v>97</v>
      </c>
      <c r="B128" s="2"/>
    </row>
    <row r="129" spans="1:2" ht="14.25">
      <c r="A129" s="77" t="s">
        <v>78</v>
      </c>
      <c r="B129" s="2"/>
    </row>
    <row r="130" spans="1:2">
      <c r="B130" s="2"/>
    </row>
    <row r="131" spans="1:2">
      <c r="B131" s="2"/>
    </row>
    <row r="132" spans="1:2">
      <c r="B132" s="2"/>
    </row>
    <row r="133" spans="1:2">
      <c r="B133" s="2"/>
    </row>
    <row r="134" spans="1:2">
      <c r="B134" s="2"/>
    </row>
    <row r="135" spans="1:2">
      <c r="B135" s="2"/>
    </row>
    <row r="136" spans="1:2">
      <c r="B136" s="2"/>
    </row>
    <row r="137" spans="1:2">
      <c r="B137" s="2"/>
    </row>
    <row r="138" spans="1:2">
      <c r="B138" s="2"/>
    </row>
  </sheetData>
  <mergeCells count="13">
    <mergeCell ref="I68:N68"/>
    <mergeCell ref="I3:N3"/>
    <mergeCell ref="A27:A29"/>
    <mergeCell ref="A30:A37"/>
    <mergeCell ref="C3:G3"/>
    <mergeCell ref="A5:A22"/>
    <mergeCell ref="A23:A26"/>
    <mergeCell ref="A38:A58"/>
    <mergeCell ref="A92:A102"/>
    <mergeCell ref="C68:G68"/>
    <mergeCell ref="A70:A87"/>
    <mergeCell ref="A88:A91"/>
    <mergeCell ref="A103:A123"/>
  </mergeCells>
  <phoneticPr fontId="23" type="noConversion"/>
  <hyperlinks>
    <hyperlink ref="C3:F3" location="'Series Descriptions'!A60" display="Surplus/Deficit Measures" xr:uid="{00000000-0004-0000-0400-000000000000}"/>
    <hyperlink ref="C3:G3" location="'Series Descriptions'!A49" display="Surplus/Deficit Measures" xr:uid="{00000000-0004-0000-0400-000001000000}"/>
    <hyperlink ref="I3:N3" location="'Series Descriptions'!A81" display="Tax and Revenue" xr:uid="{00000000-0004-0000-0400-000002000000}"/>
    <hyperlink ref="B127" location="'Series Descriptions'!A144" display="magnitude of difference in 1994 in transition from cash to accrual " xr:uid="{00000000-0004-0000-0400-000003000000}"/>
    <hyperlink ref="B62" location="'Series Descriptions'!A144" display="magnitude of difference in 1994 in transition from cash to accrual " xr:uid="{00000000-0004-0000-0400-000004000000}"/>
    <hyperlink ref="C68:F68" location="'Series Descriptions'!A60" display="Surplus/Deficit Measures" xr:uid="{00000000-0004-0000-0400-000005000000}"/>
    <hyperlink ref="C68:G68" location="'Series Descriptions'!A49" display="Surplus/Deficit Measures" xr:uid="{00000000-0004-0000-0400-000006000000}"/>
    <hyperlink ref="I68:N68" location="'Series Descriptions'!A81" display="Tax and Revenue" xr:uid="{00000000-0004-0000-0400-000007000000}"/>
  </hyperlinks>
  <pageMargins left="0.7" right="0.7" top="0.75" bottom="0.75" header="0.3" footer="0.3"/>
  <pageSetup paperSize="9" scale="82" orientation="portrait" horizontalDpi="300" verticalDpi="300" r:id="rId1"/>
  <rowBreaks count="1" manualBreakCount="1">
    <brk id="6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4"/>
  <sheetViews>
    <sheetView zoomScale="85" zoomScaleNormal="85" workbookViewId="0">
      <pane xSplit="1" ySplit="4" topLeftCell="B98" activePane="bottomRight" state="frozen"/>
      <selection pane="topRight" activeCell="B1" sqref="B1"/>
      <selection pane="bottomLeft" activeCell="A5" sqref="A5"/>
      <selection pane="bottomRight" activeCell="O138" sqref="O138"/>
    </sheetView>
  </sheetViews>
  <sheetFormatPr defaultRowHeight="12.75"/>
  <cols>
    <col min="1" max="1" width="4.7109375" customWidth="1"/>
    <col min="3" max="3" width="12.7109375" bestFit="1" customWidth="1"/>
    <col min="4" max="4" width="14.28515625" customWidth="1"/>
    <col min="5" max="5" width="17.5703125" customWidth="1"/>
    <col min="6" max="6" width="2.28515625" customWidth="1"/>
    <col min="7" max="8" width="12.28515625" bestFit="1" customWidth="1"/>
    <col min="9" max="9" width="2.42578125" customWidth="1"/>
    <col min="10" max="12" width="10.28515625" customWidth="1"/>
    <col min="13" max="13" width="10.28515625" bestFit="1" customWidth="1"/>
  </cols>
  <sheetData>
    <row r="1" spans="1:12" ht="15.75">
      <c r="A1" s="1" t="s">
        <v>99</v>
      </c>
    </row>
    <row r="2" spans="1:12" ht="15.75">
      <c r="A2" s="1"/>
    </row>
    <row r="3" spans="1:12" ht="13.5" customHeight="1">
      <c r="A3" s="57" t="s">
        <v>30</v>
      </c>
      <c r="B3" s="8"/>
      <c r="C3" s="189" t="s">
        <v>100</v>
      </c>
      <c r="D3" s="189"/>
      <c r="E3" s="189"/>
      <c r="F3" s="4"/>
      <c r="G3" s="25" t="s">
        <v>101</v>
      </c>
      <c r="H3" s="25"/>
      <c r="I3" s="4"/>
      <c r="J3" s="189" t="s">
        <v>102</v>
      </c>
      <c r="K3" s="189"/>
      <c r="L3" s="190"/>
    </row>
    <row r="4" spans="1:12" ht="54" customHeight="1">
      <c r="A4" s="58"/>
      <c r="B4" s="9"/>
      <c r="C4" s="6" t="s">
        <v>103</v>
      </c>
      <c r="D4" s="6" t="s">
        <v>104</v>
      </c>
      <c r="E4" s="6" t="s">
        <v>105</v>
      </c>
      <c r="F4" s="6"/>
      <c r="G4" s="6" t="s">
        <v>106</v>
      </c>
      <c r="H4" s="6" t="s">
        <v>107</v>
      </c>
      <c r="I4" s="6"/>
      <c r="J4" s="75" t="s">
        <v>108</v>
      </c>
      <c r="K4" s="75" t="s">
        <v>109</v>
      </c>
      <c r="L4" s="76" t="s">
        <v>110</v>
      </c>
    </row>
    <row r="5" spans="1:12" ht="12.75" customHeight="1">
      <c r="A5" s="191" t="s">
        <v>37</v>
      </c>
      <c r="B5" s="11">
        <v>1972</v>
      </c>
      <c r="C5" s="98"/>
      <c r="D5" s="98">
        <v>3186.5</v>
      </c>
      <c r="E5" s="98">
        <v>3186.5</v>
      </c>
      <c r="F5" s="98"/>
      <c r="G5" s="98"/>
      <c r="H5" s="98"/>
      <c r="I5" s="98"/>
      <c r="J5" s="98">
        <v>405.08300000000008</v>
      </c>
      <c r="K5" s="98"/>
      <c r="L5" s="99"/>
    </row>
    <row r="6" spans="1:12">
      <c r="A6" s="192"/>
      <c r="B6" s="13">
        <v>1973</v>
      </c>
      <c r="C6" s="92"/>
      <c r="D6" s="92">
        <v>3503.1</v>
      </c>
      <c r="E6" s="92">
        <v>3503.1</v>
      </c>
      <c r="F6" s="92"/>
      <c r="G6" s="92"/>
      <c r="H6" s="92"/>
      <c r="I6" s="92"/>
      <c r="J6" s="92">
        <v>466.98300000000017</v>
      </c>
      <c r="K6" s="92"/>
      <c r="L6" s="90"/>
    </row>
    <row r="7" spans="1:12">
      <c r="A7" s="192"/>
      <c r="B7" s="13">
        <v>1974</v>
      </c>
      <c r="C7" s="92"/>
      <c r="D7" s="92">
        <v>3734.5</v>
      </c>
      <c r="E7" s="92">
        <v>3734.5</v>
      </c>
      <c r="F7" s="92"/>
      <c r="G7" s="92"/>
      <c r="H7" s="92"/>
      <c r="I7" s="92"/>
      <c r="J7" s="92">
        <v>408.69499999999999</v>
      </c>
      <c r="K7" s="92"/>
      <c r="L7" s="90"/>
    </row>
    <row r="8" spans="1:12">
      <c r="A8" s="192"/>
      <c r="B8" s="13">
        <v>1975</v>
      </c>
      <c r="C8" s="92"/>
      <c r="D8" s="92">
        <v>4199.7</v>
      </c>
      <c r="E8" s="92">
        <v>4199.7</v>
      </c>
      <c r="F8" s="92"/>
      <c r="G8" s="92"/>
      <c r="H8" s="92"/>
      <c r="I8" s="92"/>
      <c r="J8" s="92">
        <v>501</v>
      </c>
      <c r="K8" s="92"/>
      <c r="L8" s="90"/>
    </row>
    <row r="9" spans="1:12">
      <c r="A9" s="192"/>
      <c r="B9" s="13">
        <v>1976</v>
      </c>
      <c r="C9" s="92"/>
      <c r="D9" s="92">
        <v>5557.9</v>
      </c>
      <c r="E9" s="92">
        <v>5557.9</v>
      </c>
      <c r="F9" s="92"/>
      <c r="G9" s="92"/>
      <c r="H9" s="92"/>
      <c r="I9" s="92"/>
      <c r="J9" s="92">
        <v>985.79999999999927</v>
      </c>
      <c r="K9" s="92"/>
      <c r="L9" s="90"/>
    </row>
    <row r="10" spans="1:12">
      <c r="A10" s="192"/>
      <c r="B10" s="13">
        <v>1977</v>
      </c>
      <c r="C10" s="92"/>
      <c r="D10" s="92">
        <v>6289.2</v>
      </c>
      <c r="E10" s="92">
        <v>6289.2</v>
      </c>
      <c r="F10" s="92"/>
      <c r="G10" s="92"/>
      <c r="H10" s="92"/>
      <c r="I10" s="92"/>
      <c r="J10" s="92">
        <v>1069.4000000000001</v>
      </c>
      <c r="K10" s="92"/>
      <c r="L10" s="90"/>
    </row>
    <row r="11" spans="1:12">
      <c r="A11" s="192"/>
      <c r="B11" s="13">
        <v>1978</v>
      </c>
      <c r="C11" s="92"/>
      <c r="D11" s="92">
        <v>7483.8</v>
      </c>
      <c r="E11" s="92">
        <v>7483.8</v>
      </c>
      <c r="F11" s="92"/>
      <c r="G11" s="92"/>
      <c r="H11" s="92"/>
      <c r="I11" s="92"/>
      <c r="J11" s="92">
        <v>1339.3</v>
      </c>
      <c r="K11" s="92"/>
      <c r="L11" s="90"/>
    </row>
    <row r="12" spans="1:12">
      <c r="A12" s="192"/>
      <c r="B12" s="13">
        <v>1979</v>
      </c>
      <c r="C12" s="92"/>
      <c r="D12" s="92">
        <v>8819.5</v>
      </c>
      <c r="E12" s="92">
        <v>8819.5</v>
      </c>
      <c r="F12" s="92"/>
      <c r="G12" s="92"/>
      <c r="H12" s="92"/>
      <c r="I12" s="92"/>
      <c r="J12" s="92">
        <v>2548.2729999999992</v>
      </c>
      <c r="K12" s="92"/>
      <c r="L12" s="90"/>
    </row>
    <row r="13" spans="1:12">
      <c r="A13" s="192"/>
      <c r="B13" s="13">
        <v>1980</v>
      </c>
      <c r="C13" s="92"/>
      <c r="D13" s="92">
        <v>10346.4</v>
      </c>
      <c r="E13" s="92">
        <v>10346.4</v>
      </c>
      <c r="F13" s="92"/>
      <c r="G13" s="92"/>
      <c r="H13" s="92"/>
      <c r="I13" s="92"/>
      <c r="J13" s="92">
        <v>3226.4</v>
      </c>
      <c r="K13" s="92"/>
      <c r="L13" s="90"/>
    </row>
    <row r="14" spans="1:12">
      <c r="A14" s="192"/>
      <c r="B14" s="13">
        <v>1981</v>
      </c>
      <c r="C14" s="92"/>
      <c r="D14" s="92">
        <v>11617.1</v>
      </c>
      <c r="E14" s="92">
        <v>11617.1</v>
      </c>
      <c r="F14" s="92"/>
      <c r="G14" s="92"/>
      <c r="H14" s="92"/>
      <c r="I14" s="92"/>
      <c r="J14" s="92">
        <v>4063.7290000000003</v>
      </c>
      <c r="K14" s="92"/>
      <c r="L14" s="90"/>
    </row>
    <row r="15" spans="1:12">
      <c r="A15" s="192"/>
      <c r="B15" s="13">
        <v>1982</v>
      </c>
      <c r="C15" s="92"/>
      <c r="D15" s="92">
        <v>14381.4</v>
      </c>
      <c r="E15" s="92">
        <v>14381.4</v>
      </c>
      <c r="F15" s="92"/>
      <c r="G15" s="92"/>
      <c r="H15" s="92"/>
      <c r="I15" s="92"/>
      <c r="J15" s="92">
        <v>5903.384</v>
      </c>
      <c r="K15" s="92"/>
      <c r="L15" s="90"/>
    </row>
    <row r="16" spans="1:12">
      <c r="A16" s="192"/>
      <c r="B16" s="13">
        <v>1983</v>
      </c>
      <c r="C16" s="92"/>
      <c r="D16" s="92">
        <v>18732.8</v>
      </c>
      <c r="E16" s="92">
        <v>18732.8</v>
      </c>
      <c r="F16" s="92"/>
      <c r="G16" s="92"/>
      <c r="H16" s="92"/>
      <c r="I16" s="92"/>
      <c r="J16" s="92">
        <v>8959.4</v>
      </c>
      <c r="K16" s="92"/>
      <c r="L16" s="90"/>
    </row>
    <row r="17" spans="1:12">
      <c r="A17" s="192"/>
      <c r="B17" s="13">
        <v>1984</v>
      </c>
      <c r="C17" s="92"/>
      <c r="D17" s="92">
        <v>21878.7</v>
      </c>
      <c r="E17" s="92">
        <v>21878.7</v>
      </c>
      <c r="F17" s="92"/>
      <c r="G17" s="92"/>
      <c r="H17" s="92"/>
      <c r="I17" s="92"/>
      <c r="J17" s="92">
        <v>11029.37</v>
      </c>
      <c r="K17" s="92"/>
      <c r="L17" s="90"/>
    </row>
    <row r="18" spans="1:12">
      <c r="A18" s="192"/>
      <c r="B18" s="13">
        <v>1985</v>
      </c>
      <c r="C18" s="92"/>
      <c r="D18" s="92">
        <v>28246.3</v>
      </c>
      <c r="E18" s="92">
        <v>28246.3</v>
      </c>
      <c r="F18" s="92"/>
      <c r="G18" s="92"/>
      <c r="H18" s="92"/>
      <c r="I18" s="92"/>
      <c r="J18" s="92">
        <v>16063.1</v>
      </c>
      <c r="K18" s="92"/>
      <c r="L18" s="90"/>
    </row>
    <row r="19" spans="1:12">
      <c r="A19" s="192"/>
      <c r="B19" s="13">
        <v>1986</v>
      </c>
      <c r="C19" s="92"/>
      <c r="D19" s="92">
        <v>32002.2</v>
      </c>
      <c r="E19" s="92">
        <v>32002.2</v>
      </c>
      <c r="F19" s="92"/>
      <c r="G19" s="92"/>
      <c r="H19" s="92"/>
      <c r="I19" s="92"/>
      <c r="J19" s="92">
        <v>19317.900000000001</v>
      </c>
      <c r="K19" s="92"/>
      <c r="L19" s="90"/>
    </row>
    <row r="20" spans="1:12">
      <c r="A20" s="192"/>
      <c r="B20" s="13">
        <v>1987</v>
      </c>
      <c r="C20" s="92"/>
      <c r="D20" s="92">
        <v>42472</v>
      </c>
      <c r="E20" s="92">
        <v>42472</v>
      </c>
      <c r="F20" s="92"/>
      <c r="G20" s="92"/>
      <c r="H20" s="92"/>
      <c r="I20" s="92"/>
      <c r="J20" s="92">
        <v>25399.5</v>
      </c>
      <c r="K20" s="92"/>
      <c r="L20" s="90"/>
    </row>
    <row r="21" spans="1:12">
      <c r="A21" s="192"/>
      <c r="B21" s="13">
        <v>1988</v>
      </c>
      <c r="C21" s="92"/>
      <c r="D21" s="92">
        <v>39068</v>
      </c>
      <c r="E21" s="92">
        <v>39068</v>
      </c>
      <c r="F21" s="92"/>
      <c r="G21" s="92"/>
      <c r="H21" s="92"/>
      <c r="I21" s="92"/>
      <c r="J21" s="92">
        <v>25567</v>
      </c>
      <c r="K21" s="92"/>
      <c r="L21" s="90"/>
    </row>
    <row r="22" spans="1:12">
      <c r="A22" s="193"/>
      <c r="B22" s="14">
        <v>1989</v>
      </c>
      <c r="C22" s="94"/>
      <c r="D22" s="94">
        <v>39721</v>
      </c>
      <c r="E22" s="94">
        <v>39721</v>
      </c>
      <c r="F22" s="94"/>
      <c r="G22" s="94"/>
      <c r="H22" s="94"/>
      <c r="I22" s="94"/>
      <c r="J22" s="94">
        <v>29933.637000000002</v>
      </c>
      <c r="K22" s="94"/>
      <c r="L22" s="91"/>
    </row>
    <row r="23" spans="1:12" ht="12.75" customHeight="1">
      <c r="A23" s="192" t="s">
        <v>41</v>
      </c>
      <c r="B23" s="13">
        <v>1990</v>
      </c>
      <c r="C23" s="92"/>
      <c r="D23" s="92">
        <v>44347</v>
      </c>
      <c r="E23" s="92">
        <v>44347</v>
      </c>
      <c r="F23" s="92"/>
      <c r="G23" s="92"/>
      <c r="H23" s="92"/>
      <c r="I23" s="92"/>
      <c r="J23" s="98">
        <v>35705.694999999992</v>
      </c>
      <c r="K23" s="98"/>
      <c r="L23" s="99"/>
    </row>
    <row r="24" spans="1:12">
      <c r="A24" s="192"/>
      <c r="B24" s="13">
        <v>1991</v>
      </c>
      <c r="C24" s="92"/>
      <c r="D24" s="92">
        <v>43935</v>
      </c>
      <c r="E24" s="92">
        <v>43935</v>
      </c>
      <c r="F24" s="92"/>
      <c r="G24" s="92"/>
      <c r="H24" s="92"/>
      <c r="I24" s="92"/>
      <c r="J24" s="92">
        <v>34071.669000000002</v>
      </c>
      <c r="K24" s="92"/>
      <c r="L24" s="90"/>
    </row>
    <row r="25" spans="1:12">
      <c r="A25" s="192"/>
      <c r="B25" s="13">
        <v>1992</v>
      </c>
      <c r="C25" s="92"/>
      <c r="D25" s="92">
        <v>47105</v>
      </c>
      <c r="E25" s="92">
        <v>47105</v>
      </c>
      <c r="F25" s="92"/>
      <c r="G25" s="92"/>
      <c r="H25" s="92"/>
      <c r="I25" s="92"/>
      <c r="J25" s="92">
        <v>38414.797999999995</v>
      </c>
      <c r="K25" s="92">
        <v>42171.797999999995</v>
      </c>
      <c r="L25" s="90"/>
    </row>
    <row r="26" spans="1:12">
      <c r="A26" s="193"/>
      <c r="B26" s="14">
        <v>1993</v>
      </c>
      <c r="C26" s="94"/>
      <c r="D26" s="94">
        <v>47478</v>
      </c>
      <c r="E26" s="94">
        <v>47478</v>
      </c>
      <c r="F26" s="94"/>
      <c r="G26" s="94"/>
      <c r="H26" s="94"/>
      <c r="I26" s="94"/>
      <c r="J26" s="94">
        <v>37196</v>
      </c>
      <c r="K26" s="94">
        <v>40262</v>
      </c>
      <c r="L26" s="91"/>
    </row>
    <row r="27" spans="1:12" ht="12.75" customHeight="1">
      <c r="A27" s="186" t="s">
        <v>50</v>
      </c>
      <c r="B27" s="11">
        <v>1994</v>
      </c>
      <c r="C27" s="98">
        <v>47873</v>
      </c>
      <c r="D27" s="98">
        <v>46429</v>
      </c>
      <c r="E27" s="98">
        <v>46429</v>
      </c>
      <c r="F27" s="98"/>
      <c r="G27" s="98">
        <v>-3294.9774436090229</v>
      </c>
      <c r="H27" s="98"/>
      <c r="I27" s="98"/>
      <c r="J27" s="98">
        <v>35423</v>
      </c>
      <c r="K27" s="98">
        <v>38980</v>
      </c>
      <c r="L27" s="99"/>
    </row>
    <row r="28" spans="1:12">
      <c r="A28" s="188"/>
      <c r="B28" s="13">
        <v>1995</v>
      </c>
      <c r="C28" s="92">
        <v>46145</v>
      </c>
      <c r="D28" s="92">
        <v>44529.608999999997</v>
      </c>
      <c r="E28" s="92">
        <v>44529.608999999997</v>
      </c>
      <c r="F28" s="92"/>
      <c r="G28" s="92">
        <v>1438.8045112781965</v>
      </c>
      <c r="H28" s="92"/>
      <c r="I28" s="92"/>
      <c r="J28" s="92">
        <v>32969.508999999998</v>
      </c>
      <c r="K28" s="92">
        <v>38680.508999999998</v>
      </c>
      <c r="L28" s="90"/>
    </row>
    <row r="29" spans="1:12">
      <c r="A29" s="188"/>
      <c r="B29" s="13">
        <v>1996</v>
      </c>
      <c r="C29" s="92">
        <v>43663</v>
      </c>
      <c r="D29" s="92">
        <v>41900.731</v>
      </c>
      <c r="E29" s="92">
        <v>41900.731</v>
      </c>
      <c r="F29" s="92"/>
      <c r="G29" s="92">
        <v>7991.1804511278206</v>
      </c>
      <c r="H29" s="92"/>
      <c r="I29" s="92"/>
      <c r="J29" s="92">
        <v>28986.329000000002</v>
      </c>
      <c r="K29" s="92">
        <v>33835.328999999998</v>
      </c>
      <c r="L29" s="90"/>
    </row>
    <row r="30" spans="1:12">
      <c r="A30" s="188"/>
      <c r="B30" s="13">
        <v>1997</v>
      </c>
      <c r="C30" s="92">
        <v>38968.273000000001</v>
      </c>
      <c r="D30" s="92">
        <v>36236.273000000001</v>
      </c>
      <c r="E30" s="92">
        <v>36236.273000000001</v>
      </c>
      <c r="F30" s="92"/>
      <c r="G30" s="92">
        <v>12167.052631578948</v>
      </c>
      <c r="H30" s="92"/>
      <c r="I30" s="92"/>
      <c r="J30" s="92">
        <v>25561.780999999999</v>
      </c>
      <c r="K30" s="92">
        <v>30316.780999999999</v>
      </c>
      <c r="L30" s="90"/>
    </row>
    <row r="31" spans="1:12">
      <c r="A31" s="188"/>
      <c r="B31" s="13">
        <v>1998</v>
      </c>
      <c r="C31" s="92">
        <v>40593.788</v>
      </c>
      <c r="D31" s="92">
        <v>38474.788</v>
      </c>
      <c r="E31" s="92">
        <v>38474.788</v>
      </c>
      <c r="F31" s="92"/>
      <c r="G31" s="92">
        <v>14573.639097744361</v>
      </c>
      <c r="H31" s="92"/>
      <c r="I31" s="92"/>
      <c r="J31" s="92">
        <v>24635.057000000001</v>
      </c>
      <c r="K31" s="92">
        <v>30472.057000000001</v>
      </c>
      <c r="L31" s="90"/>
    </row>
    <row r="32" spans="1:12">
      <c r="A32" s="188"/>
      <c r="B32" s="13">
        <v>1999</v>
      </c>
      <c r="C32" s="92">
        <v>38715.332999999999</v>
      </c>
      <c r="D32" s="92">
        <v>37307.332999999999</v>
      </c>
      <c r="E32" s="92">
        <v>37307.332999999999</v>
      </c>
      <c r="F32" s="92"/>
      <c r="G32" s="92">
        <v>10792.992481203008</v>
      </c>
      <c r="H32" s="92"/>
      <c r="I32" s="92"/>
      <c r="J32" s="92">
        <v>22274.781999999999</v>
      </c>
      <c r="K32" s="92">
        <v>25922.781999999999</v>
      </c>
      <c r="L32" s="90"/>
    </row>
    <row r="33" spans="1:16">
      <c r="A33" s="188"/>
      <c r="B33" s="13">
        <v>2000</v>
      </c>
      <c r="C33" s="92">
        <v>37526.976000000002</v>
      </c>
      <c r="D33" s="92">
        <v>36579.976000000002</v>
      </c>
      <c r="E33" s="92">
        <v>36579.976000000002</v>
      </c>
      <c r="F33" s="92"/>
      <c r="G33" s="92">
        <v>12605.072781954888</v>
      </c>
      <c r="H33" s="92"/>
      <c r="I33" s="92"/>
      <c r="J33" s="92">
        <v>21900.256000000001</v>
      </c>
      <c r="K33" s="92">
        <v>25895.256000000001</v>
      </c>
      <c r="L33" s="90"/>
    </row>
    <row r="34" spans="1:16">
      <c r="A34" s="188"/>
      <c r="B34" s="13">
        <v>2001</v>
      </c>
      <c r="C34" s="92">
        <v>38129.834000000003</v>
      </c>
      <c r="D34" s="92">
        <v>37193.834000000003</v>
      </c>
      <c r="E34" s="92">
        <v>37193.834000000003</v>
      </c>
      <c r="F34" s="92"/>
      <c r="G34" s="93">
        <v>15450.219323308269</v>
      </c>
      <c r="H34" s="93"/>
      <c r="I34" s="93"/>
      <c r="J34" s="93">
        <v>20292.975999999999</v>
      </c>
      <c r="K34" s="93">
        <v>24907.975999999999</v>
      </c>
      <c r="L34" s="90"/>
    </row>
    <row r="35" spans="1:16">
      <c r="A35" s="188"/>
      <c r="B35" s="13">
        <v>2002</v>
      </c>
      <c r="C35" s="92">
        <v>38492.455999999998</v>
      </c>
      <c r="D35" s="92">
        <v>36650.485999999997</v>
      </c>
      <c r="E35" s="92">
        <v>36650.485999999997</v>
      </c>
      <c r="F35" s="92"/>
      <c r="G35" s="93">
        <v>22824.599465563912</v>
      </c>
      <c r="H35" s="93">
        <v>22719</v>
      </c>
      <c r="I35" s="93"/>
      <c r="J35" s="93">
        <v>19665.752</v>
      </c>
      <c r="K35" s="93">
        <v>25387.752</v>
      </c>
      <c r="L35" s="90"/>
    </row>
    <row r="36" spans="1:16">
      <c r="A36" s="188"/>
      <c r="B36" s="13">
        <v>2003</v>
      </c>
      <c r="C36" s="92">
        <v>39327.22</v>
      </c>
      <c r="D36" s="92">
        <v>36617.22</v>
      </c>
      <c r="E36" s="92">
        <v>36617.22</v>
      </c>
      <c r="F36" s="92"/>
      <c r="G36" s="93">
        <v>28012.279936766914</v>
      </c>
      <c r="H36" s="93">
        <v>27918</v>
      </c>
      <c r="I36" s="93"/>
      <c r="J36" s="93">
        <v>17976.723000000002</v>
      </c>
      <c r="K36" s="93">
        <v>24530.723000000002</v>
      </c>
      <c r="L36" s="90"/>
    </row>
    <row r="37" spans="1:16">
      <c r="A37" s="188"/>
      <c r="B37" s="13">
        <v>2004</v>
      </c>
      <c r="C37" s="92">
        <v>37719.796000000002</v>
      </c>
      <c r="D37" s="92">
        <v>36017.288</v>
      </c>
      <c r="E37" s="92">
        <v>36017.288</v>
      </c>
      <c r="F37" s="92"/>
      <c r="G37" s="93">
        <v>39595.001376240602</v>
      </c>
      <c r="H37" s="93">
        <v>39456</v>
      </c>
      <c r="I37" s="93"/>
      <c r="J37" s="93">
        <v>15569.184999999999</v>
      </c>
      <c r="K37" s="93">
        <v>23858.184999999998</v>
      </c>
      <c r="L37" s="90"/>
    </row>
    <row r="38" spans="1:16" ht="12.75" customHeight="1">
      <c r="A38" s="196" t="s">
        <v>55</v>
      </c>
      <c r="B38" s="11">
        <v>2005</v>
      </c>
      <c r="C38" s="100">
        <v>37728.361000000004</v>
      </c>
      <c r="D38" s="100">
        <v>35477.834000000003</v>
      </c>
      <c r="E38" s="100">
        <v>35477.834000000003</v>
      </c>
      <c r="F38" s="100"/>
      <c r="G38" s="100">
        <v>54240.468579624059</v>
      </c>
      <c r="H38" s="100">
        <v>54025</v>
      </c>
      <c r="I38" s="100"/>
      <c r="J38" s="100">
        <v>11092.976000000001</v>
      </c>
      <c r="K38" s="100">
        <v>19878.976000000002</v>
      </c>
      <c r="L38" s="102"/>
    </row>
    <row r="39" spans="1:16">
      <c r="A39" s="197"/>
      <c r="B39" s="13">
        <v>2006</v>
      </c>
      <c r="C39" s="93">
        <v>40003.910000000003</v>
      </c>
      <c r="D39" s="93">
        <v>35866.902000000002</v>
      </c>
      <c r="E39" s="93">
        <v>33902.902000000002</v>
      </c>
      <c r="F39" s="93"/>
      <c r="G39" s="93">
        <v>83971</v>
      </c>
      <c r="H39" s="93">
        <v>83678</v>
      </c>
      <c r="I39" s="93"/>
      <c r="J39" s="93">
        <v>8043.6930000000002</v>
      </c>
      <c r="K39" s="93">
        <v>16162.692999999999</v>
      </c>
      <c r="L39" s="96"/>
    </row>
    <row r="40" spans="1:16">
      <c r="A40" s="197"/>
      <c r="B40" s="13">
        <v>2007</v>
      </c>
      <c r="C40" s="93">
        <v>41898</v>
      </c>
      <c r="D40" s="93">
        <v>36805</v>
      </c>
      <c r="E40" s="93">
        <v>30647</v>
      </c>
      <c r="F40" s="93"/>
      <c r="G40" s="93">
        <v>96827</v>
      </c>
      <c r="H40" s="93">
        <v>96458</v>
      </c>
      <c r="I40" s="93"/>
      <c r="J40" s="93">
        <v>4109</v>
      </c>
      <c r="K40" s="93">
        <v>13380</v>
      </c>
      <c r="L40" s="96"/>
    </row>
    <row r="41" spans="1:16">
      <c r="A41" s="197"/>
      <c r="B41" s="13">
        <v>2008</v>
      </c>
      <c r="C41" s="93">
        <v>46110</v>
      </c>
      <c r="D41" s="93">
        <v>37745</v>
      </c>
      <c r="E41" s="93">
        <v>31390</v>
      </c>
      <c r="F41" s="93"/>
      <c r="G41" s="93">
        <v>105514</v>
      </c>
      <c r="H41" s="93">
        <v>105132</v>
      </c>
      <c r="I41" s="93"/>
      <c r="J41" s="93">
        <v>-19</v>
      </c>
      <c r="K41" s="93">
        <v>10258</v>
      </c>
      <c r="L41" s="96">
        <v>-9479.9429999999993</v>
      </c>
    </row>
    <row r="42" spans="1:16">
      <c r="A42" s="197"/>
      <c r="B42" s="13">
        <v>2009</v>
      </c>
      <c r="C42" s="93">
        <v>61953</v>
      </c>
      <c r="D42" s="93">
        <v>50973</v>
      </c>
      <c r="E42" s="93">
        <v>43356</v>
      </c>
      <c r="F42" s="93"/>
      <c r="G42" s="93">
        <v>99515</v>
      </c>
      <c r="H42" s="93">
        <v>99068</v>
      </c>
      <c r="I42" s="93"/>
      <c r="J42" s="93">
        <v>6690</v>
      </c>
      <c r="K42" s="93">
        <v>17119</v>
      </c>
      <c r="L42" s="96">
        <v>-1711.009</v>
      </c>
    </row>
    <row r="43" spans="1:16" s="16" customFormat="1">
      <c r="A43" s="197"/>
      <c r="B43" s="16">
        <v>2010</v>
      </c>
      <c r="C43" s="93">
        <v>69733</v>
      </c>
      <c r="D43" s="93">
        <v>58891</v>
      </c>
      <c r="E43" s="93">
        <v>53591</v>
      </c>
      <c r="F43" s="93"/>
      <c r="G43" s="93">
        <v>94988</v>
      </c>
      <c r="H43" s="93">
        <v>94586</v>
      </c>
      <c r="I43" s="93"/>
      <c r="J43" s="93">
        <v>15871</v>
      </c>
      <c r="K43" s="93">
        <v>26738</v>
      </c>
      <c r="L43" s="96">
        <v>5124.8950000000004</v>
      </c>
      <c r="P43"/>
    </row>
    <row r="44" spans="1:16">
      <c r="A44" s="197"/>
      <c r="B44" s="16">
        <v>2011</v>
      </c>
      <c r="C44" s="93">
        <v>90245</v>
      </c>
      <c r="D44" s="93">
        <v>77290</v>
      </c>
      <c r="E44" s="93">
        <v>72420</v>
      </c>
      <c r="F44" s="93"/>
      <c r="G44" s="93">
        <v>80887</v>
      </c>
      <c r="H44" s="93">
        <v>80579</v>
      </c>
      <c r="I44" s="93"/>
      <c r="J44" s="93">
        <v>28049</v>
      </c>
      <c r="K44" s="93">
        <v>40128</v>
      </c>
      <c r="L44" s="96">
        <v>14554.493999999999</v>
      </c>
    </row>
    <row r="45" spans="1:16">
      <c r="A45" s="197"/>
      <c r="B45" s="16">
        <v>2012</v>
      </c>
      <c r="C45" s="93">
        <v>100534</v>
      </c>
      <c r="D45" s="93">
        <v>84168</v>
      </c>
      <c r="E45" s="93">
        <v>79635</v>
      </c>
      <c r="F45" s="93"/>
      <c r="G45" s="93">
        <v>59780</v>
      </c>
      <c r="H45" s="93">
        <v>59348</v>
      </c>
      <c r="I45" s="93"/>
      <c r="J45" s="93">
        <v>37347</v>
      </c>
      <c r="K45" s="93">
        <v>50671</v>
      </c>
      <c r="L45" s="96">
        <v>23893.395</v>
      </c>
    </row>
    <row r="46" spans="1:16">
      <c r="A46" s="197"/>
      <c r="B46" s="16">
        <v>2013</v>
      </c>
      <c r="C46" s="93">
        <v>100087</v>
      </c>
      <c r="D46" s="93">
        <v>84286</v>
      </c>
      <c r="E46" s="93">
        <v>77984</v>
      </c>
      <c r="F46" s="93"/>
      <c r="G46" s="93">
        <v>70011</v>
      </c>
      <c r="H46" s="93">
        <v>68071</v>
      </c>
      <c r="I46" s="93"/>
      <c r="J46" s="93">
        <v>42709</v>
      </c>
      <c r="K46" s="93">
        <v>55835</v>
      </c>
      <c r="L46" s="96">
        <v>25298.398999999998</v>
      </c>
    </row>
    <row r="47" spans="1:16">
      <c r="A47" s="197"/>
      <c r="B47" s="16">
        <v>2014</v>
      </c>
      <c r="C47" s="93">
        <v>103419</v>
      </c>
      <c r="D47" s="93">
        <v>88468</v>
      </c>
      <c r="E47" s="93">
        <v>81956</v>
      </c>
      <c r="F47" s="93"/>
      <c r="G47" s="93">
        <v>80697</v>
      </c>
      <c r="H47" s="93">
        <v>75486</v>
      </c>
      <c r="I47" s="93"/>
      <c r="J47" s="93">
        <v>46178</v>
      </c>
      <c r="K47" s="93">
        <v>59931</v>
      </c>
      <c r="L47" s="96">
        <v>25207.866000000002</v>
      </c>
    </row>
    <row r="48" spans="1:16">
      <c r="A48" s="197"/>
      <c r="B48" s="16">
        <v>2015</v>
      </c>
      <c r="C48" s="93">
        <v>112580</v>
      </c>
      <c r="D48" s="93">
        <v>93156</v>
      </c>
      <c r="E48" s="93">
        <v>86125</v>
      </c>
      <c r="F48" s="93"/>
      <c r="G48" s="93">
        <v>92236</v>
      </c>
      <c r="H48" s="93">
        <v>86454</v>
      </c>
      <c r="I48" s="93"/>
      <c r="J48" s="93">
        <v>46491</v>
      </c>
      <c r="K48" s="93">
        <v>60631</v>
      </c>
      <c r="L48" s="96">
        <v>22824.858</v>
      </c>
    </row>
    <row r="49" spans="1:14">
      <c r="A49" s="197"/>
      <c r="B49" s="16">
        <v>2016</v>
      </c>
      <c r="C49" s="93">
        <v>113956</v>
      </c>
      <c r="D49" s="93">
        <v>93283</v>
      </c>
      <c r="E49" s="93">
        <v>86928</v>
      </c>
      <c r="F49" s="93"/>
      <c r="G49" s="93">
        <v>95521</v>
      </c>
      <c r="H49" s="93">
        <v>89366</v>
      </c>
      <c r="I49" s="93"/>
      <c r="J49" s="93">
        <v>47268</v>
      </c>
      <c r="K49" s="93">
        <v>61880</v>
      </c>
      <c r="L49" s="96">
        <v>23192.832999999999</v>
      </c>
    </row>
    <row r="50" spans="1:14">
      <c r="A50" s="197"/>
      <c r="B50" s="16">
        <v>2017</v>
      </c>
      <c r="C50" s="93">
        <v>111806</v>
      </c>
      <c r="D50" s="93">
        <v>92620</v>
      </c>
      <c r="E50" s="93">
        <v>87141</v>
      </c>
      <c r="F50" s="93"/>
      <c r="G50" s="93">
        <v>116472</v>
      </c>
      <c r="H50" s="93">
        <v>110532</v>
      </c>
      <c r="I50" s="93"/>
      <c r="J50" s="93">
        <v>47466</v>
      </c>
      <c r="K50" s="93">
        <v>59480</v>
      </c>
      <c r="L50" s="96">
        <v>16248.603999999999</v>
      </c>
    </row>
    <row r="51" spans="1:14">
      <c r="A51" s="197"/>
      <c r="B51" s="16">
        <v>2018</v>
      </c>
      <c r="C51" s="93">
        <v>115652</v>
      </c>
      <c r="D51" s="93">
        <v>95437</v>
      </c>
      <c r="E51" s="93">
        <v>88053</v>
      </c>
      <c r="F51" s="93"/>
      <c r="G51" s="93">
        <v>135637</v>
      </c>
      <c r="H51" s="93">
        <v>129644</v>
      </c>
      <c r="I51" s="93"/>
      <c r="J51" s="93">
        <v>45246</v>
      </c>
      <c r="K51" s="93">
        <v>57495</v>
      </c>
      <c r="L51" s="96">
        <v>11218.778</v>
      </c>
    </row>
    <row r="52" spans="1:14">
      <c r="A52" s="197"/>
      <c r="B52" s="16">
        <v>2019</v>
      </c>
      <c r="C52" s="115">
        <v>110248</v>
      </c>
      <c r="D52" s="115">
        <v>90930</v>
      </c>
      <c r="E52" s="115">
        <v>84449</v>
      </c>
      <c r="F52" s="115"/>
      <c r="G52" s="115">
        <v>143339</v>
      </c>
      <c r="H52" s="115">
        <v>136949</v>
      </c>
      <c r="I52" s="115"/>
      <c r="J52" s="115">
        <v>43891</v>
      </c>
      <c r="K52" s="130">
        <v>57736</v>
      </c>
      <c r="L52" s="116">
        <v>5432.2860000000001</v>
      </c>
    </row>
    <row r="53" spans="1:14">
      <c r="A53" s="197"/>
      <c r="B53" s="16">
        <v>2020</v>
      </c>
      <c r="C53" s="122">
        <v>152717</v>
      </c>
      <c r="D53" s="122">
        <v>124145</v>
      </c>
      <c r="E53" s="122">
        <v>102257</v>
      </c>
      <c r="F53" s="93"/>
      <c r="G53" s="122">
        <v>115943</v>
      </c>
      <c r="H53" s="93">
        <v>110320</v>
      </c>
      <c r="I53" s="122"/>
      <c r="J53" s="93">
        <f>124145-102169+46843</f>
        <v>68819</v>
      </c>
      <c r="K53" s="93">
        <v>83375</v>
      </c>
      <c r="L53" s="123">
        <v>35710.485999999997</v>
      </c>
    </row>
    <row r="54" spans="1:14">
      <c r="A54" s="197"/>
      <c r="B54" s="16">
        <v>2021</v>
      </c>
      <c r="C54" s="122">
        <v>162560</v>
      </c>
      <c r="D54" s="122">
        <v>131256</v>
      </c>
      <c r="E54" s="122">
        <v>100835</v>
      </c>
      <c r="F54" s="93"/>
      <c r="G54" s="122">
        <v>157193</v>
      </c>
      <c r="H54" s="93">
        <v>151469</v>
      </c>
      <c r="I54" s="122"/>
      <c r="J54" s="93">
        <v>83352</v>
      </c>
      <c r="K54" s="93">
        <v>102080</v>
      </c>
      <c r="L54" s="123">
        <v>35921</v>
      </c>
    </row>
    <row r="55" spans="1:14">
      <c r="A55" s="197"/>
      <c r="B55" s="16">
        <v>2022</v>
      </c>
      <c r="C55" s="122">
        <v>203965</v>
      </c>
      <c r="D55" s="122">
        <v>164038</v>
      </c>
      <c r="E55" s="122">
        <v>118950</v>
      </c>
      <c r="F55" s="93"/>
      <c r="G55" s="122">
        <v>174319</v>
      </c>
      <c r="H55" s="93">
        <v>167036</v>
      </c>
      <c r="I55" s="122"/>
      <c r="J55" s="93">
        <v>102770</v>
      </c>
      <c r="K55" s="93">
        <v>128873</v>
      </c>
      <c r="L55" s="123">
        <v>61850</v>
      </c>
    </row>
    <row r="56" spans="1:14">
      <c r="A56" s="197"/>
      <c r="B56" s="16" t="s">
        <v>111</v>
      </c>
      <c r="C56" s="122">
        <v>226755</v>
      </c>
      <c r="D56" s="122"/>
      <c r="E56" s="122">
        <v>135789</v>
      </c>
      <c r="F56" s="93"/>
      <c r="G56" s="122">
        <v>191472</v>
      </c>
      <c r="H56" s="93">
        <v>183514</v>
      </c>
      <c r="I56" s="122"/>
      <c r="J56" s="93"/>
      <c r="K56" s="93">
        <v>155273</v>
      </c>
      <c r="L56" s="123">
        <v>71367</v>
      </c>
    </row>
    <row r="57" spans="1:14">
      <c r="A57" s="197"/>
      <c r="B57" s="16">
        <v>2024</v>
      </c>
      <c r="C57" s="122">
        <v>250943</v>
      </c>
      <c r="D57" s="122"/>
      <c r="E57" s="122">
        <v>175966</v>
      </c>
      <c r="F57" s="93"/>
      <c r="G57" s="122">
        <v>191049</v>
      </c>
      <c r="H57" s="93">
        <v>181818</v>
      </c>
      <c r="I57" s="122"/>
      <c r="J57" s="93"/>
      <c r="K57" s="93">
        <v>175464</v>
      </c>
      <c r="L57" s="123">
        <v>82197</v>
      </c>
      <c r="N57" s="103"/>
    </row>
    <row r="58" spans="1:14">
      <c r="A58" s="198"/>
      <c r="B58" s="83">
        <v>2025</v>
      </c>
      <c r="C58" s="152">
        <v>272085</v>
      </c>
      <c r="D58" s="152"/>
      <c r="E58" s="152">
        <v>203688</v>
      </c>
      <c r="F58" s="95"/>
      <c r="G58" s="152">
        <v>189128</v>
      </c>
      <c r="H58" s="95">
        <v>179260</v>
      </c>
      <c r="I58" s="152"/>
      <c r="J58" s="156"/>
      <c r="K58" s="156">
        <v>182171</v>
      </c>
      <c r="L58" s="155">
        <v>88719</v>
      </c>
      <c r="N58" s="103"/>
    </row>
    <row r="59" spans="1:14">
      <c r="A59" s="141"/>
      <c r="B59" s="16"/>
      <c r="C59" s="93"/>
      <c r="D59" s="93"/>
      <c r="E59" s="93"/>
      <c r="F59" s="93"/>
      <c r="G59" s="93"/>
      <c r="H59" s="93"/>
      <c r="I59" s="93"/>
      <c r="J59" s="93"/>
      <c r="K59" s="93"/>
      <c r="L59" s="93"/>
      <c r="N59" s="103"/>
    </row>
    <row r="60" spans="1:14">
      <c r="B60" s="37" t="s">
        <v>112</v>
      </c>
    </row>
    <row r="62" spans="1:14" ht="16.5">
      <c r="A62" s="57" t="s">
        <v>79</v>
      </c>
      <c r="B62" s="8"/>
      <c r="C62" s="189" t="s">
        <v>100</v>
      </c>
      <c r="D62" s="189"/>
      <c r="E62" s="189"/>
      <c r="F62" s="4"/>
      <c r="G62" s="25" t="s">
        <v>101</v>
      </c>
      <c r="H62" s="25"/>
      <c r="I62" s="4"/>
      <c r="J62" s="189" t="s">
        <v>102</v>
      </c>
      <c r="K62" s="189"/>
      <c r="L62" s="190"/>
    </row>
    <row r="63" spans="1:14" ht="38.25">
      <c r="A63" s="58"/>
      <c r="B63" s="9"/>
      <c r="C63" s="6" t="s">
        <v>103</v>
      </c>
      <c r="D63" s="6" t="s">
        <v>104</v>
      </c>
      <c r="E63" s="6" t="s">
        <v>105</v>
      </c>
      <c r="F63" s="6"/>
      <c r="G63" s="6" t="s">
        <v>106</v>
      </c>
      <c r="H63" s="6" t="s">
        <v>107</v>
      </c>
      <c r="I63" s="6"/>
      <c r="J63" s="75" t="s">
        <v>108</v>
      </c>
      <c r="K63" s="75" t="s">
        <v>109</v>
      </c>
      <c r="L63" s="76" t="s">
        <v>110</v>
      </c>
    </row>
    <row r="64" spans="1:14" ht="12.75" customHeight="1">
      <c r="A64" s="191" t="s">
        <v>37</v>
      </c>
      <c r="B64" s="11">
        <v>1972</v>
      </c>
      <c r="C64" s="20"/>
      <c r="D64" s="20">
        <f>D5/'Nominal GDP'!$C5</f>
        <v>0.45586552217453508</v>
      </c>
      <c r="E64" s="20">
        <f>E5/'Nominal GDP'!$C5</f>
        <v>0.45586552217453508</v>
      </c>
      <c r="F64" s="20"/>
      <c r="G64" s="20"/>
      <c r="H64" s="20"/>
      <c r="I64" s="20"/>
      <c r="J64" s="20">
        <f>J5/'Nominal GDP'!$C5</f>
        <v>5.795178826895566E-2</v>
      </c>
      <c r="K64" s="20"/>
      <c r="L64" s="63"/>
    </row>
    <row r="65" spans="1:12">
      <c r="A65" s="192"/>
      <c r="B65" s="13">
        <v>1973</v>
      </c>
      <c r="C65" s="21"/>
      <c r="D65" s="21">
        <f>D6/'Nominal GDP'!$C6</f>
        <v>0.43355198019801977</v>
      </c>
      <c r="E65" s="21">
        <f>E6/'Nominal GDP'!$C6</f>
        <v>0.43355198019801977</v>
      </c>
      <c r="F65" s="21"/>
      <c r="G65" s="21"/>
      <c r="H65" s="21"/>
      <c r="I65" s="21"/>
      <c r="J65" s="21">
        <f>J6/'Nominal GDP'!$C6</f>
        <v>5.7794925742574277E-2</v>
      </c>
      <c r="K65" s="21"/>
      <c r="L65" s="64"/>
    </row>
    <row r="66" spans="1:12">
      <c r="A66" s="192"/>
      <c r="B66" s="13">
        <v>1974</v>
      </c>
      <c r="C66" s="21"/>
      <c r="D66" s="21">
        <f>D7/'Nominal GDP'!$C7</f>
        <v>0.39894242068155111</v>
      </c>
      <c r="E66" s="21">
        <f>E7/'Nominal GDP'!$C7</f>
        <v>0.39894242068155111</v>
      </c>
      <c r="F66" s="21"/>
      <c r="G66" s="21"/>
      <c r="H66" s="21"/>
      <c r="I66" s="21"/>
      <c r="J66" s="21">
        <f>J7/'Nominal GDP'!$C7</f>
        <v>4.3659331268026923E-2</v>
      </c>
      <c r="K66" s="21"/>
      <c r="L66" s="64"/>
    </row>
    <row r="67" spans="1:12">
      <c r="A67" s="192"/>
      <c r="B67" s="13">
        <v>1975</v>
      </c>
      <c r="C67" s="21"/>
      <c r="D67" s="21">
        <f>D8/'Nominal GDP'!$C8</f>
        <v>0.41161423110849749</v>
      </c>
      <c r="E67" s="21">
        <f>E8/'Nominal GDP'!$C8</f>
        <v>0.41161423110849749</v>
      </c>
      <c r="F67" s="21"/>
      <c r="G67" s="21"/>
      <c r="H67" s="21"/>
      <c r="I67" s="21"/>
      <c r="J67" s="21">
        <f>J8/'Nominal GDP'!$C8</f>
        <v>4.9103204939723609E-2</v>
      </c>
      <c r="K67" s="21"/>
      <c r="L67" s="64"/>
    </row>
    <row r="68" spans="1:12">
      <c r="A68" s="192"/>
      <c r="B68" s="13">
        <v>1976</v>
      </c>
      <c r="C68" s="21"/>
      <c r="D68" s="21">
        <f>D9/'Nominal GDP'!$C9</f>
        <v>0.48304362941074219</v>
      </c>
      <c r="E68" s="21">
        <f>E9/'Nominal GDP'!$C9</f>
        <v>0.48304362941074219</v>
      </c>
      <c r="F68" s="21"/>
      <c r="G68" s="21"/>
      <c r="H68" s="21"/>
      <c r="I68" s="21"/>
      <c r="J68" s="21">
        <f>J9/'Nominal GDP'!$C9</f>
        <v>8.5677038067095368E-2</v>
      </c>
      <c r="K68" s="21"/>
      <c r="L68" s="64"/>
    </row>
    <row r="69" spans="1:12">
      <c r="A69" s="192"/>
      <c r="B69" s="13">
        <v>1977</v>
      </c>
      <c r="C69" s="21"/>
      <c r="D69" s="21">
        <f>D10/'Nominal GDP'!$C10</f>
        <v>0.4501288290867449</v>
      </c>
      <c r="E69" s="21">
        <f>E10/'Nominal GDP'!$C10</f>
        <v>0.4501288290867449</v>
      </c>
      <c r="F69" s="21"/>
      <c r="G69" s="21"/>
      <c r="H69" s="21"/>
      <c r="I69" s="21"/>
      <c r="J69" s="21">
        <f>J10/'Nominal GDP'!$C10</f>
        <v>7.6538791869453199E-2</v>
      </c>
      <c r="K69" s="21"/>
      <c r="L69" s="64"/>
    </row>
    <row r="70" spans="1:12">
      <c r="A70" s="192"/>
      <c r="B70" s="13">
        <v>1978</v>
      </c>
      <c r="C70" s="21"/>
      <c r="D70" s="21">
        <f>D11/'Nominal GDP'!$C11</f>
        <v>0.4776791983149295</v>
      </c>
      <c r="E70" s="21">
        <f>E11/'Nominal GDP'!$C11</f>
        <v>0.4776791983149295</v>
      </c>
      <c r="F70" s="21"/>
      <c r="G70" s="21"/>
      <c r="H70" s="21"/>
      <c r="I70" s="21"/>
      <c r="J70" s="21">
        <f>J11/'Nominal GDP'!$C11</f>
        <v>8.5485415203931825E-2</v>
      </c>
      <c r="K70" s="21"/>
      <c r="L70" s="64"/>
    </row>
    <row r="71" spans="1:12">
      <c r="A71" s="192"/>
      <c r="B71" s="13">
        <v>1979</v>
      </c>
      <c r="C71" s="21"/>
      <c r="D71" s="21">
        <f>D12/'Nominal GDP'!$C12</f>
        <v>0.49519932622122403</v>
      </c>
      <c r="E71" s="21">
        <f>E12/'Nominal GDP'!$C12</f>
        <v>0.49519932622122403</v>
      </c>
      <c r="F71" s="21"/>
      <c r="G71" s="21"/>
      <c r="H71" s="21"/>
      <c r="I71" s="21"/>
      <c r="J71" s="21">
        <f>J12/'Nominal GDP'!$C12</f>
        <v>0.14308102189781016</v>
      </c>
      <c r="K71" s="21"/>
      <c r="L71" s="64"/>
    </row>
    <row r="72" spans="1:12">
      <c r="A72" s="192"/>
      <c r="B72" s="13">
        <v>1980</v>
      </c>
      <c r="C72" s="21"/>
      <c r="D72" s="21">
        <f>D13/'Nominal GDP'!$C13</f>
        <v>0.50357247152730455</v>
      </c>
      <c r="E72" s="21">
        <f>E13/'Nominal GDP'!$C13</f>
        <v>0.50357247152730455</v>
      </c>
      <c r="F72" s="21"/>
      <c r="G72" s="21"/>
      <c r="H72" s="21"/>
      <c r="I72" s="21"/>
      <c r="J72" s="21">
        <f>J13/'Nominal GDP'!$C13</f>
        <v>0.15703299912391708</v>
      </c>
      <c r="K72" s="21"/>
      <c r="L72" s="64"/>
    </row>
    <row r="73" spans="1:12">
      <c r="A73" s="192"/>
      <c r="B73" s="13">
        <v>1981</v>
      </c>
      <c r="C73" s="21"/>
      <c r="D73" s="21">
        <f>D14/'Nominal GDP'!$C14</f>
        <v>0.48428797732199436</v>
      </c>
      <c r="E73" s="21">
        <f>E14/'Nominal GDP'!$C14</f>
        <v>0.48428797732199436</v>
      </c>
      <c r="F73" s="21"/>
      <c r="G73" s="21"/>
      <c r="H73" s="21"/>
      <c r="I73" s="21"/>
      <c r="J73" s="21">
        <f>J14/'Nominal GDP'!$C14</f>
        <v>0.16940674503918626</v>
      </c>
      <c r="K73" s="21"/>
      <c r="L73" s="64"/>
    </row>
    <row r="74" spans="1:12">
      <c r="A74" s="192"/>
      <c r="B74" s="13">
        <v>1982</v>
      </c>
      <c r="C74" s="21"/>
      <c r="D74" s="21">
        <f>D15/'Nominal GDP'!$C15</f>
        <v>0.49543199669284826</v>
      </c>
      <c r="E74" s="21">
        <f>E15/'Nominal GDP'!$C15</f>
        <v>0.49543199669284826</v>
      </c>
      <c r="F74" s="21"/>
      <c r="G74" s="21"/>
      <c r="H74" s="21"/>
      <c r="I74" s="21"/>
      <c r="J74" s="21">
        <f>J15/'Nominal GDP'!$C15</f>
        <v>0.20336860961829958</v>
      </c>
      <c r="K74" s="21"/>
      <c r="L74" s="64"/>
    </row>
    <row r="75" spans="1:12">
      <c r="A75" s="192"/>
      <c r="B75" s="13">
        <v>1983</v>
      </c>
      <c r="C75" s="21"/>
      <c r="D75" s="21">
        <f>D16/'Nominal GDP'!$C16</f>
        <v>0.56042601567641959</v>
      </c>
      <c r="E75" s="21">
        <f>E16/'Nominal GDP'!$C16</f>
        <v>0.56042601567641959</v>
      </c>
      <c r="F75" s="21"/>
      <c r="G75" s="21"/>
      <c r="H75" s="21"/>
      <c r="I75" s="21"/>
      <c r="J75" s="21">
        <f>J16/'Nominal GDP'!$C16</f>
        <v>0.26803685753604978</v>
      </c>
      <c r="K75" s="21"/>
      <c r="L75" s="64"/>
    </row>
    <row r="76" spans="1:12">
      <c r="A76" s="192"/>
      <c r="B76" s="13">
        <v>1984</v>
      </c>
      <c r="C76" s="21"/>
      <c r="D76" s="21">
        <f>D17/'Nominal GDP'!$C17</f>
        <v>0.58730035164953165</v>
      </c>
      <c r="E76" s="21">
        <f>E17/'Nominal GDP'!$C17</f>
        <v>0.58730035164953165</v>
      </c>
      <c r="F76" s="21"/>
      <c r="G76" s="21"/>
      <c r="H76" s="21"/>
      <c r="I76" s="21"/>
      <c r="J76" s="21">
        <f>J17/'Nominal GDP'!$C17</f>
        <v>0.29606662550667062</v>
      </c>
      <c r="K76" s="21"/>
      <c r="L76" s="64"/>
    </row>
    <row r="77" spans="1:12">
      <c r="A77" s="192"/>
      <c r="B77" s="13">
        <v>1985</v>
      </c>
      <c r="C77" s="21"/>
      <c r="D77" s="21">
        <f>D18/'Nominal GDP'!$C18</f>
        <v>0.66864643499668586</v>
      </c>
      <c r="E77" s="21">
        <f>E18/'Nominal GDP'!$C18</f>
        <v>0.66864643499668586</v>
      </c>
      <c r="F77" s="21"/>
      <c r="G77" s="21"/>
      <c r="H77" s="21"/>
      <c r="I77" s="21"/>
      <c r="J77" s="21">
        <f>J18/'Nominal GDP'!$C18</f>
        <v>0.38024571536786289</v>
      </c>
      <c r="K77" s="21"/>
      <c r="L77" s="64"/>
    </row>
    <row r="78" spans="1:12">
      <c r="A78" s="192"/>
      <c r="B78" s="13">
        <v>1986</v>
      </c>
      <c r="C78" s="21"/>
      <c r="D78" s="21">
        <f>D19/'Nominal GDP'!$C19</f>
        <v>0.65606510998585454</v>
      </c>
      <c r="E78" s="21">
        <f>E19/'Nominal GDP'!$C19</f>
        <v>0.65606510998585454</v>
      </c>
      <c r="F78" s="21"/>
      <c r="G78" s="21"/>
      <c r="H78" s="21"/>
      <c r="I78" s="21"/>
      <c r="J78" s="21">
        <f>J19/'Nominal GDP'!$C19</f>
        <v>0.39602902888538105</v>
      </c>
      <c r="K78" s="21"/>
      <c r="L78" s="64"/>
    </row>
    <row r="79" spans="1:12">
      <c r="A79" s="192"/>
      <c r="B79" s="13">
        <v>1987</v>
      </c>
      <c r="C79" s="21"/>
      <c r="D79" s="21">
        <f>D20/'Nominal GDP'!$C20</f>
        <v>0.73286973927147858</v>
      </c>
      <c r="E79" s="21">
        <f>E20/'Nominal GDP'!$C20</f>
        <v>0.73286973927147858</v>
      </c>
      <c r="F79" s="21"/>
      <c r="G79" s="21"/>
      <c r="H79" s="21"/>
      <c r="I79" s="21"/>
      <c r="J79" s="21">
        <f>J20/'Nominal GDP'!$C20</f>
        <v>0.43827756975480131</v>
      </c>
      <c r="K79" s="21"/>
      <c r="L79" s="64"/>
    </row>
    <row r="80" spans="1:12">
      <c r="A80" s="192"/>
      <c r="B80" s="13">
        <v>1988</v>
      </c>
      <c r="C80" s="21"/>
      <c r="D80" s="21">
        <f>D21/'Nominal GDP'!$C21</f>
        <v>0.59950588488038425</v>
      </c>
      <c r="E80" s="21">
        <f>E21/'Nominal GDP'!$C21</f>
        <v>0.59950588488038425</v>
      </c>
      <c r="F80" s="21"/>
      <c r="G80" s="21"/>
      <c r="H80" s="21"/>
      <c r="I80" s="21"/>
      <c r="J80" s="21">
        <f>J21/'Nominal GDP'!$C21</f>
        <v>0.39233047401292065</v>
      </c>
      <c r="K80" s="21"/>
      <c r="L80" s="64"/>
    </row>
    <row r="81" spans="1:12">
      <c r="A81" s="193"/>
      <c r="B81" s="14">
        <v>1989</v>
      </c>
      <c r="C81" s="22"/>
      <c r="D81" s="22">
        <f>D22/'Nominal GDP'!$C22</f>
        <v>0.56238938679579209</v>
      </c>
      <c r="E81" s="22">
        <f>E22/'Nominal GDP'!$C22</f>
        <v>0.56238938679579209</v>
      </c>
      <c r="F81" s="22"/>
      <c r="G81" s="22"/>
      <c r="H81" s="22"/>
      <c r="I81" s="22"/>
      <c r="J81" s="22">
        <f>J22/'Nominal GDP'!$C22</f>
        <v>0.42381510427727992</v>
      </c>
      <c r="K81" s="22"/>
      <c r="L81" s="65"/>
    </row>
    <row r="82" spans="1:12" ht="12.75" customHeight="1">
      <c r="A82" s="192" t="s">
        <v>41</v>
      </c>
      <c r="B82" s="13">
        <v>1990</v>
      </c>
      <c r="C82" s="21"/>
      <c r="D82" s="21">
        <f>D23/'Nominal GDP'!$C23</f>
        <v>0.59019164226776688</v>
      </c>
      <c r="E82" s="21">
        <f>E23/'Nominal GDP'!$C23</f>
        <v>0.59019164226776688</v>
      </c>
      <c r="F82" s="21"/>
      <c r="G82" s="21"/>
      <c r="H82" s="21"/>
      <c r="I82" s="21"/>
      <c r="J82" s="20">
        <f>J23/'Nominal GDP'!$C23</f>
        <v>0.47518891402714925</v>
      </c>
      <c r="K82" s="20"/>
      <c r="L82" s="63"/>
    </row>
    <row r="83" spans="1:12">
      <c r="A83" s="192"/>
      <c r="B83" s="13">
        <v>1991</v>
      </c>
      <c r="C83" s="21"/>
      <c r="D83" s="21">
        <f>D24/'Nominal GDP'!$C24</f>
        <v>0.5784041390750273</v>
      </c>
      <c r="E83" s="21">
        <f>E24/'Nominal GDP'!$C24</f>
        <v>0.5784041390750273</v>
      </c>
      <c r="F83" s="21"/>
      <c r="G83" s="21"/>
      <c r="H83" s="21"/>
      <c r="I83" s="21"/>
      <c r="J83" s="21">
        <f>J24/'Nominal GDP'!$C24</f>
        <v>0.44855341697494705</v>
      </c>
      <c r="K83" s="21"/>
      <c r="L83" s="64"/>
    </row>
    <row r="84" spans="1:12">
      <c r="A84" s="192"/>
      <c r="B84" s="13">
        <v>1992</v>
      </c>
      <c r="C84" s="21"/>
      <c r="D84" s="21">
        <f>D25/'Nominal GDP'!$C25</f>
        <v>0.61235765170817946</v>
      </c>
      <c r="E84" s="21">
        <f>E25/'Nominal GDP'!$C25</f>
        <v>0.61235765170817946</v>
      </c>
      <c r="F84" s="21"/>
      <c r="G84" s="21"/>
      <c r="H84" s="21"/>
      <c r="I84" s="21"/>
      <c r="J84" s="21">
        <f>J25/'Nominal GDP'!$C25</f>
        <v>0.49938638136342356</v>
      </c>
      <c r="K84" s="21"/>
      <c r="L84" s="64">
        <f>L25/'Nominal GDP'!$C25</f>
        <v>0</v>
      </c>
    </row>
    <row r="85" spans="1:12">
      <c r="A85" s="193"/>
      <c r="B85" s="14">
        <v>1993</v>
      </c>
      <c r="C85" s="22"/>
      <c r="D85" s="22">
        <f>D26/'Nominal GDP'!$C26</f>
        <v>0.59834402449936352</v>
      </c>
      <c r="E85" s="22">
        <f>E26/'Nominal GDP'!$C26</f>
        <v>0.59834402449936352</v>
      </c>
      <c r="F85" s="22"/>
      <c r="G85" s="22"/>
      <c r="H85" s="22"/>
      <c r="I85" s="22"/>
      <c r="J85" s="22">
        <f>J26/'Nominal GDP'!$C26</f>
        <v>0.46876457170222685</v>
      </c>
      <c r="K85" s="22"/>
      <c r="L85" s="65">
        <f>L26/'Nominal GDP'!$C26</f>
        <v>0</v>
      </c>
    </row>
    <row r="86" spans="1:12" ht="12.75" customHeight="1">
      <c r="A86" s="191" t="s">
        <v>50</v>
      </c>
      <c r="B86" s="11">
        <v>1994</v>
      </c>
      <c r="C86" s="20">
        <f>C27/'Nominal GDP'!$C27</f>
        <v>0.55646220548406966</v>
      </c>
      <c r="D86" s="20">
        <f>D27/'Nominal GDP'!$C27</f>
        <v>0.53967755808952589</v>
      </c>
      <c r="E86" s="20">
        <f>E27/'Nominal GDP'!$C27</f>
        <v>0.53967755808952589</v>
      </c>
      <c r="F86" s="20"/>
      <c r="G86" s="20">
        <f>G27/'Nominal GDP'!$C27</f>
        <v>-3.829988543210032E-2</v>
      </c>
      <c r="H86" s="20"/>
      <c r="I86" s="20"/>
      <c r="J86" s="20">
        <f>J27/'Nominal GDP'!$C27</f>
        <v>0.41174692843277422</v>
      </c>
      <c r="K86" s="20"/>
      <c r="L86" s="63">
        <f>L27/'Nominal GDP'!$C27</f>
        <v>0</v>
      </c>
    </row>
    <row r="87" spans="1:12">
      <c r="A87" s="195"/>
      <c r="B87" s="13">
        <v>1995</v>
      </c>
      <c r="C87" s="21">
        <f>C28/'Nominal GDP'!$C28</f>
        <v>0.50213826349064716</v>
      </c>
      <c r="D87" s="21">
        <f>D28/'Nominal GDP'!$C28</f>
        <v>0.48455998563609254</v>
      </c>
      <c r="E87" s="21">
        <f>E28/'Nominal GDP'!$C28</f>
        <v>0.48455998563609254</v>
      </c>
      <c r="F87" s="21"/>
      <c r="G87" s="21">
        <f>G28/'Nominal GDP'!$C28</f>
        <v>1.565670817630822E-2</v>
      </c>
      <c r="H87" s="21"/>
      <c r="I87" s="21"/>
      <c r="J87" s="21">
        <f>J28/'Nominal GDP'!$C28</f>
        <v>0.35876589007258125</v>
      </c>
      <c r="K87" s="21"/>
      <c r="L87" s="64">
        <f>L28/'Nominal GDP'!$C28</f>
        <v>0</v>
      </c>
    </row>
    <row r="88" spans="1:12">
      <c r="A88" s="195"/>
      <c r="B88" s="13">
        <v>1996</v>
      </c>
      <c r="C88" s="21">
        <f>C29/'Nominal GDP'!$C29</f>
        <v>0.44751352902591013</v>
      </c>
      <c r="D88" s="21">
        <f>D29/'Nominal GDP'!$C29</f>
        <v>0.42945157223679897</v>
      </c>
      <c r="E88" s="21">
        <f>E29/'Nominal GDP'!$C29</f>
        <v>0.42945157223679897</v>
      </c>
      <c r="F88" s="21"/>
      <c r="G88" s="21">
        <f>G29/'Nominal GDP'!$C29</f>
        <v>8.1903702557476019E-2</v>
      </c>
      <c r="H88" s="21"/>
      <c r="I88" s="21"/>
      <c r="J88" s="21">
        <f>J29/'Nominal GDP'!$C29</f>
        <v>0.2970884818793047</v>
      </c>
      <c r="K88" s="21"/>
      <c r="L88" s="64">
        <f>L29/'Nominal GDP'!$C29</f>
        <v>0</v>
      </c>
    </row>
    <row r="89" spans="1:12">
      <c r="A89" s="195"/>
      <c r="B89" s="13">
        <v>1997</v>
      </c>
      <c r="C89" s="21">
        <f>C30/'Nominal GDP'!$C30</f>
        <v>0.38164901816757263</v>
      </c>
      <c r="D89" s="21">
        <f>D30/'Nominal GDP'!$C30</f>
        <v>0.35489224817589737</v>
      </c>
      <c r="E89" s="21">
        <f>E30/'Nominal GDP'!$C30</f>
        <v>0.35489224817589737</v>
      </c>
      <c r="F89" s="21"/>
      <c r="G89" s="21">
        <f>G30/'Nominal GDP'!$C30</f>
        <v>0.11916216278907936</v>
      </c>
      <c r="H89" s="21"/>
      <c r="I89" s="21"/>
      <c r="J89" s="21">
        <f>J30/'Nominal GDP'!$C30</f>
        <v>0.25034798491748689</v>
      </c>
      <c r="K89" s="21"/>
      <c r="L89" s="64">
        <f>L30/'Nominal GDP'!$C30</f>
        <v>0</v>
      </c>
    </row>
    <row r="90" spans="1:12">
      <c r="A90" s="195"/>
      <c r="B90" s="13">
        <v>1998</v>
      </c>
      <c r="C90" s="21">
        <f>C31/'Nominal GDP'!$C31</f>
        <v>0.38690966278426964</v>
      </c>
      <c r="D90" s="21">
        <f>D31/'Nominal GDP'!$C31</f>
        <v>0.36671293772279306</v>
      </c>
      <c r="E90" s="21">
        <f>E31/'Nominal GDP'!$C31</f>
        <v>0.36671293772279306</v>
      </c>
      <c r="F90" s="21"/>
      <c r="G90" s="21">
        <f>G31/'Nominal GDP'!$C31</f>
        <v>0.13890504105820126</v>
      </c>
      <c r="H90" s="21"/>
      <c r="I90" s="21"/>
      <c r="J90" s="21">
        <f>J31/'Nominal GDP'!$C31</f>
        <v>0.23480296040717513</v>
      </c>
      <c r="K90" s="21"/>
      <c r="L90" s="64">
        <f>L31/'Nominal GDP'!$C31</f>
        <v>0</v>
      </c>
    </row>
    <row r="91" spans="1:12">
      <c r="A91" s="195"/>
      <c r="B91" s="13">
        <v>1999</v>
      </c>
      <c r="C91" s="21">
        <f>C32/'Nominal GDP'!$C32</f>
        <v>0.35782591777884576</v>
      </c>
      <c r="D91" s="21">
        <f>D32/'Nominal GDP'!$C32</f>
        <v>0.34481249768937855</v>
      </c>
      <c r="E91" s="21">
        <f>E32/'Nominal GDP'!$C32</f>
        <v>0.34481249768937855</v>
      </c>
      <c r="F91" s="21"/>
      <c r="G91" s="21">
        <f>G32/'Nominal GDP'!$C32</f>
        <v>9.9754080383775812E-2</v>
      </c>
      <c r="H91" s="21"/>
      <c r="I91" s="21"/>
      <c r="J91" s="21">
        <f>J32/'Nominal GDP'!$C32</f>
        <v>0.2058743576472328</v>
      </c>
      <c r="K91" s="21"/>
      <c r="L91" s="64">
        <f>L32/'Nominal GDP'!$C32</f>
        <v>0</v>
      </c>
    </row>
    <row r="92" spans="1:12">
      <c r="A92" s="195"/>
      <c r="B92" s="13">
        <v>2000</v>
      </c>
      <c r="C92" s="21">
        <f>C33/'Nominal GDP'!$C33</f>
        <v>0.32727775064536385</v>
      </c>
      <c r="D92" s="21">
        <f>D33/'Nominal GDP'!$C33</f>
        <v>0.31901883764738714</v>
      </c>
      <c r="E92" s="21">
        <f>E33/'Nominal GDP'!$C33</f>
        <v>0.31901883764738714</v>
      </c>
      <c r="F92" s="21"/>
      <c r="G92" s="34">
        <f>G33/'Nominal GDP'!$C33</f>
        <v>0.10993051683139336</v>
      </c>
      <c r="H92" s="34"/>
      <c r="I92" s="34"/>
      <c r="J92" s="34">
        <f>J33/'Nominal GDP'!$C33</f>
        <v>0.19099504639642784</v>
      </c>
      <c r="K92" s="34"/>
      <c r="L92" s="64">
        <f>L33/'Nominal GDP'!$C33</f>
        <v>0</v>
      </c>
    </row>
    <row r="93" spans="1:12">
      <c r="A93" s="195"/>
      <c r="B93" s="13">
        <v>2001</v>
      </c>
      <c r="C93" s="21">
        <f>C34/'Nominal GDP'!$C34</f>
        <v>0.31200512237232941</v>
      </c>
      <c r="D93" s="21">
        <f>D34/'Nominal GDP'!$C34</f>
        <v>0.30434611198847877</v>
      </c>
      <c r="E93" s="21">
        <f>E34/'Nominal GDP'!$C34</f>
        <v>0.30434611198847877</v>
      </c>
      <c r="F93" s="21"/>
      <c r="G93" s="34">
        <f>G34/'Nominal GDP'!$C34</f>
        <v>0.12642456221152509</v>
      </c>
      <c r="H93" s="34"/>
      <c r="I93" s="34"/>
      <c r="J93" s="34">
        <f>J34/'Nominal GDP'!$C34</f>
        <v>0.16605140374276853</v>
      </c>
      <c r="K93" s="34"/>
      <c r="L93" s="64">
        <f>L34/'Nominal GDP'!$C34</f>
        <v>0</v>
      </c>
    </row>
    <row r="94" spans="1:12">
      <c r="A94" s="195"/>
      <c r="B94" s="13">
        <v>2002</v>
      </c>
      <c r="C94" s="21">
        <f>C35/'Nominal GDP'!$C35</f>
        <v>0.29622569896031337</v>
      </c>
      <c r="D94" s="21">
        <f>D35/'Nominal GDP'!$C35</f>
        <v>0.28205048367361074</v>
      </c>
      <c r="E94" s="21">
        <f>E35/'Nominal GDP'!$C35</f>
        <v>0.28205048367361074</v>
      </c>
      <c r="F94" s="21"/>
      <c r="G94" s="34">
        <f>G35/'Nominal GDP'!$C35</f>
        <v>0.17565085818831266</v>
      </c>
      <c r="H94" s="163">
        <f>H35/'Nominal GDP'!$C35</f>
        <v>0.17483819828694119</v>
      </c>
      <c r="I94" s="34"/>
      <c r="J94" s="34">
        <f>J35/'Nominal GDP'!$C35</f>
        <v>0.15134137275574674</v>
      </c>
      <c r="K94" s="34"/>
      <c r="L94" s="64">
        <f>L35/'Nominal GDP'!$C35</f>
        <v>0</v>
      </c>
    </row>
    <row r="95" spans="1:12">
      <c r="A95" s="195"/>
      <c r="B95" s="13">
        <v>2003</v>
      </c>
      <c r="C95" s="21">
        <f>C36/'Nominal GDP'!$C36</f>
        <v>0.28669169534029276</v>
      </c>
      <c r="D95" s="21">
        <f>D36/'Nominal GDP'!$C36</f>
        <v>0.26693605295386946</v>
      </c>
      <c r="E95" s="21">
        <f>E36/'Nominal GDP'!$C36</f>
        <v>0.26693605295386946</v>
      </c>
      <c r="F95" s="21"/>
      <c r="G95" s="34">
        <f>G36/'Nominal GDP'!$C36</f>
        <v>0.20420685788160403</v>
      </c>
      <c r="H95" s="163">
        <f>H36/'Nominal GDP'!$C36</f>
        <v>0.203519566104858</v>
      </c>
      <c r="I95" s="34"/>
      <c r="J95" s="34">
        <f>J36/'Nominal GDP'!$C36</f>
        <v>0.13104860179623259</v>
      </c>
      <c r="K95" s="34"/>
      <c r="L95" s="64">
        <f>L36/'Nominal GDP'!$C36</f>
        <v>0</v>
      </c>
    </row>
    <row r="96" spans="1:12">
      <c r="A96" s="195"/>
      <c r="B96" s="13">
        <v>2004</v>
      </c>
      <c r="C96" s="21">
        <f>C37/'Nominal GDP'!$C37</f>
        <v>0.25561478670416427</v>
      </c>
      <c r="D96" s="21">
        <f>D37/'Nominal GDP'!$C37</f>
        <v>0.24407744383830854</v>
      </c>
      <c r="E96" s="21">
        <f>E37/'Nominal GDP'!$C37</f>
        <v>0.24407744383830854</v>
      </c>
      <c r="F96" s="21"/>
      <c r="G96" s="34">
        <f>G37/'Nominal GDP'!$C37</f>
        <v>0.26832244350788198</v>
      </c>
      <c r="H96" s="163">
        <f>H37/'Nominal GDP'!$C37</f>
        <v>0.26738047640023038</v>
      </c>
      <c r="I96" s="34"/>
      <c r="J96" s="34">
        <f>J37/'Nominal GDP'!$C37</f>
        <v>0.10550730186697388</v>
      </c>
      <c r="K96" s="34"/>
      <c r="L96" s="64">
        <f>L37/'Nominal GDP'!$C37</f>
        <v>0</v>
      </c>
    </row>
    <row r="97" spans="1:14" ht="12.75" customHeight="1" collapsed="1">
      <c r="A97" s="191" t="s">
        <v>55</v>
      </c>
      <c r="B97" s="11">
        <v>2005</v>
      </c>
      <c r="C97" s="20">
        <f>C38/'Nominal GDP'!$C38</f>
        <v>0.24060994368730193</v>
      </c>
      <c r="D97" s="20">
        <f>D38/'Nominal GDP'!$C38</f>
        <v>0.22625736752485603</v>
      </c>
      <c r="E97" s="20">
        <f>E38/'Nominal GDP'!$C38</f>
        <v>0.22625736752485603</v>
      </c>
      <c r="F97" s="20"/>
      <c r="G97" s="36">
        <f>G38/'Nominal GDP'!$C38</f>
        <v>0.34591473747073753</v>
      </c>
      <c r="H97" s="175">
        <f>H38/'Nominal GDP'!$C38</f>
        <v>0.34454060190174934</v>
      </c>
      <c r="I97" s="36"/>
      <c r="J97" s="36">
        <f>J38/'Nominal GDP'!$C38</f>
        <v>7.0744666874996018E-2</v>
      </c>
      <c r="K97" s="36">
        <f>K38/'Nominal GDP'!$C38</f>
        <v>0.1267767580977405</v>
      </c>
      <c r="L97" s="63">
        <f>L38/'Nominal GDP'!$C38</f>
        <v>0</v>
      </c>
    </row>
    <row r="98" spans="1:14">
      <c r="A98" s="192"/>
      <c r="B98" s="13">
        <v>2006</v>
      </c>
      <c r="C98" s="21">
        <f>C39/'Nominal GDP'!$C39</f>
        <v>0.24323957364270385</v>
      </c>
      <c r="D98" s="21">
        <f>D39/'Nominal GDP'!$C39</f>
        <v>0.21808493095711498</v>
      </c>
      <c r="E98" s="21">
        <f>E39/'Nominal GDP'!$C39</f>
        <v>0.20614303521156735</v>
      </c>
      <c r="F98" s="21"/>
      <c r="G98" s="34">
        <f>G39/'Nominal GDP'!$C39</f>
        <v>0.51057684707198581</v>
      </c>
      <c r="H98" s="163">
        <f>H39/'Nominal GDP'!$C39</f>
        <v>0.50879529134212553</v>
      </c>
      <c r="I98" s="34"/>
      <c r="J98" s="34">
        <f>J39/'Nominal GDP'!$C39</f>
        <v>4.8908830557633023E-2</v>
      </c>
      <c r="K98" s="34">
        <f>K39/'Nominal GDP'!$C39</f>
        <v>9.8275557420210019E-2</v>
      </c>
      <c r="L98" s="64">
        <f>L39/'Nominal GDP'!$C39</f>
        <v>0</v>
      </c>
    </row>
    <row r="99" spans="1:14">
      <c r="A99" s="192"/>
      <c r="B99" s="13">
        <v>2007</v>
      </c>
      <c r="C99" s="21">
        <f>C40/'Nominal GDP'!$C40</f>
        <v>0.23884800218906949</v>
      </c>
      <c r="D99" s="21">
        <f>D40/'Nominal GDP'!$C40</f>
        <v>0.2098143281437945</v>
      </c>
      <c r="E99" s="21">
        <f>E40/'Nominal GDP'!$C40</f>
        <v>0.17470940672796823</v>
      </c>
      <c r="F99" s="21"/>
      <c r="G99" s="34">
        <f>G40/'Nominal GDP'!$C40</f>
        <v>0.55198184896560765</v>
      </c>
      <c r="H99" s="163">
        <f>H40/'Nominal GDP'!$C40</f>
        <v>0.5498782900175011</v>
      </c>
      <c r="I99" s="34"/>
      <c r="J99" s="34">
        <f>J40/'Nominal GDP'!$C40</f>
        <v>2.3424183516990941E-2</v>
      </c>
      <c r="K99" s="34">
        <f>K40/'Nominal GDP'!$C40</f>
        <v>7.6275389500447502E-2</v>
      </c>
      <c r="L99" s="64">
        <f>L40/'Nominal GDP'!$C40</f>
        <v>0</v>
      </c>
    </row>
    <row r="100" spans="1:14">
      <c r="A100" s="192"/>
      <c r="B100" s="13">
        <v>2008</v>
      </c>
      <c r="C100" s="21">
        <f>C41/'Nominal GDP'!$C41</f>
        <v>0.24406122967479674</v>
      </c>
      <c r="D100" s="21">
        <f>D41/'Nominal GDP'!$C41</f>
        <v>0.19978510331978319</v>
      </c>
      <c r="E100" s="21">
        <f>E41/'Nominal GDP'!$C41</f>
        <v>0.16614795054200543</v>
      </c>
      <c r="F100" s="21"/>
      <c r="G100" s="34">
        <f>G41/'Nominal GDP'!$C41</f>
        <v>0.55848788956639561</v>
      </c>
      <c r="H100" s="163">
        <f>H41/'Nominal GDP'!$C41</f>
        <v>0.55646595528455289</v>
      </c>
      <c r="I100" s="34"/>
      <c r="J100" s="34">
        <f>J41/'Nominal GDP'!$C41</f>
        <v>-1.0056741192411925E-4</v>
      </c>
      <c r="K100" s="34">
        <f>K41/'Nominal GDP'!$C41</f>
        <v>5.4295816395663957E-2</v>
      </c>
      <c r="L100" s="64">
        <f>L41/'Nominal GDP'!$C41</f>
        <v>-5.0177543826219508E-2</v>
      </c>
    </row>
    <row r="101" spans="1:14">
      <c r="A101" s="192"/>
      <c r="B101" s="13">
        <v>2009</v>
      </c>
      <c r="C101" s="21">
        <f>C42/'Nominal GDP'!$C42</f>
        <v>0.32627964419071293</v>
      </c>
      <c r="D101" s="21">
        <f>D42/'Nominal GDP'!$C42</f>
        <v>0.26845273519172941</v>
      </c>
      <c r="E101" s="21">
        <f>E42/'Nominal GDP'!$C42</f>
        <v>0.22833729203642358</v>
      </c>
      <c r="F101" s="21"/>
      <c r="G101" s="34">
        <f>G42/'Nominal GDP'!$C42</f>
        <v>0.52410244526719929</v>
      </c>
      <c r="H101" s="163">
        <f>H42/'Nominal GDP'!$C42</f>
        <v>0.52174828968226794</v>
      </c>
      <c r="I101" s="34"/>
      <c r="J101" s="34">
        <f>J42/'Nominal GDP'!$C42</f>
        <v>3.5233335264408014E-2</v>
      </c>
      <c r="K101" s="34">
        <f>K42/'Nominal GDP'!$C42</f>
        <v>9.0158365678834188E-2</v>
      </c>
      <c r="L101" s="64">
        <f>L42/'Nominal GDP'!$C42</f>
        <v>-9.0111440564154682E-3</v>
      </c>
    </row>
    <row r="102" spans="1:14">
      <c r="A102" s="192"/>
      <c r="B102" s="16">
        <v>2010</v>
      </c>
      <c r="C102" s="21">
        <f>C43/'Nominal GDP'!$C43</f>
        <v>0.35333968401957905</v>
      </c>
      <c r="D102" s="21">
        <f>D43/'Nominal GDP'!$C43</f>
        <v>0.29840286996969911</v>
      </c>
      <c r="E102" s="21">
        <f>E43/'Nominal GDP'!$C43</f>
        <v>0.27154757440943683</v>
      </c>
      <c r="F102" s="21"/>
      <c r="G102" s="34">
        <f>G43/'Nominal GDP'!$C43</f>
        <v>0.48130770088267782</v>
      </c>
      <c r="H102" s="163">
        <f>H43/'Nominal GDP'!$C43</f>
        <v>0.47927075204961644</v>
      </c>
      <c r="I102" s="34"/>
      <c r="J102" s="34">
        <f>J43/'Nominal GDP'!$C43</f>
        <v>8.0418942610740091E-2</v>
      </c>
      <c r="K102" s="34">
        <f>K43/'Nominal GDP'!$C43</f>
        <v>0.13548243258307407</v>
      </c>
      <c r="L102" s="64">
        <f>L43/'Nominal GDP'!$C43</f>
        <v>2.5968032064209494E-2</v>
      </c>
    </row>
    <row r="103" spans="1:14">
      <c r="A103" s="192"/>
      <c r="B103" s="16">
        <v>2011</v>
      </c>
      <c r="C103" s="21">
        <f>C44/'Nominal GDP'!$C44</f>
        <v>0.43783385164736532</v>
      </c>
      <c r="D103" s="21">
        <f>D44/'Nominal GDP'!$C44</f>
        <v>0.37498119999805934</v>
      </c>
      <c r="E103" s="21">
        <f>E44/'Nominal GDP'!$C44</f>
        <v>0.35135384272039666</v>
      </c>
      <c r="F103" s="21"/>
      <c r="G103" s="34">
        <f>G44/'Nominal GDP'!$C44</f>
        <v>0.39243245341238231</v>
      </c>
      <c r="H103" s="163">
        <f>H44/'Nominal GDP'!$C44</f>
        <v>0.39093815648393876</v>
      </c>
      <c r="I103" s="34"/>
      <c r="J103" s="34">
        <f>J44/'Nominal GDP'!$C44</f>
        <v>0.13608290436984818</v>
      </c>
      <c r="K103" s="34">
        <f>K44/'Nominal GDP'!$C44</f>
        <v>0.1946855426772173</v>
      </c>
      <c r="L103" s="64">
        <f>L44/'Nominal GDP'!$C44</f>
        <v>7.0612778179383551E-2</v>
      </c>
    </row>
    <row r="104" spans="1:14">
      <c r="A104" s="192"/>
      <c r="B104" s="13">
        <v>2012</v>
      </c>
      <c r="C104" s="21">
        <f>C45/'Nominal GDP'!$C45</f>
        <v>0.46718062390505266</v>
      </c>
      <c r="D104" s="21">
        <f>D45/'Nominal GDP'!$C45</f>
        <v>0.39112796419957896</v>
      </c>
      <c r="E104" s="21">
        <f>E45/'Nominal GDP'!$C45</f>
        <v>0.37006315261184147</v>
      </c>
      <c r="F104" s="21"/>
      <c r="G104" s="34">
        <f>G45/'Nominal GDP'!$C45</f>
        <v>0.27779714024155061</v>
      </c>
      <c r="H104" s="163">
        <f>H45/'Nominal GDP'!$C45</f>
        <v>0.27578963999758355</v>
      </c>
      <c r="I104" s="34"/>
      <c r="J104" s="34">
        <f>J45/'Nominal GDP'!$C45</f>
        <v>0.17355118428573421</v>
      </c>
      <c r="K104" s="34">
        <f>K45/'Nominal GDP'!$C45</f>
        <v>0.23546769643993995</v>
      </c>
      <c r="L104" s="64">
        <f>L45/'Nominal GDP'!$C45</f>
        <v>0.1110323988233818</v>
      </c>
    </row>
    <row r="105" spans="1:14">
      <c r="A105" s="192"/>
      <c r="B105" s="13">
        <v>2013</v>
      </c>
      <c r="C105" s="21">
        <f>C46/'Nominal GDP'!$C46</f>
        <v>0.45663669171422966</v>
      </c>
      <c r="D105" s="21">
        <f>D46/'Nominal GDP'!$C46</f>
        <v>0.38454624674358867</v>
      </c>
      <c r="E105" s="21">
        <f>E46/'Nominal GDP'!$C46</f>
        <v>0.35579401687174644</v>
      </c>
      <c r="F105" s="21"/>
      <c r="G105" s="34">
        <f>G46/'Nominal GDP'!$C46</f>
        <v>0.31941802055816371</v>
      </c>
      <c r="H105" s="163">
        <f>H46/'Nominal GDP'!$C46</f>
        <v>0.31056696915362964</v>
      </c>
      <c r="I105" s="34"/>
      <c r="J105" s="34">
        <f>J46/'Nominal GDP'!$C46</f>
        <v>0.19485544043105532</v>
      </c>
      <c r="K105" s="34">
        <f>K46/'Nominal GDP'!$C46</f>
        <v>0.25474147173822786</v>
      </c>
      <c r="L105" s="64">
        <f>L46/'Nominal GDP'!$C46</f>
        <v>0.11542135567083213</v>
      </c>
    </row>
    <row r="106" spans="1:14">
      <c r="A106" s="192"/>
      <c r="B106" s="16">
        <v>2014</v>
      </c>
      <c r="C106" s="163">
        <f>C47/'Nominal GDP'!$C47</f>
        <v>0.43613154077122906</v>
      </c>
      <c r="D106" s="163">
        <f>D47/'Nominal GDP'!$C47</f>
        <v>0.37308120508754766</v>
      </c>
      <c r="E106" s="163">
        <f>E47/'Nominal GDP'!$C47</f>
        <v>0.34561924361526264</v>
      </c>
      <c r="F106" s="163"/>
      <c r="G106" s="163">
        <f>G47/'Nominal GDP'!$C47</f>
        <v>0.34030987483553188</v>
      </c>
      <c r="H106" s="163">
        <f>H47/'Nominal GDP'!$C47</f>
        <v>0.31833440167335786</v>
      </c>
      <c r="I106" s="163"/>
      <c r="J106" s="163">
        <f>J47/'Nominal GDP'!$C47</f>
        <v>0.19473870652137243</v>
      </c>
      <c r="K106" s="163">
        <f>K47/'Nominal GDP'!$C47</f>
        <v>0.25273691845754193</v>
      </c>
      <c r="L106" s="164">
        <f>L47/'Nominal GDP'!$C47</f>
        <v>0.10630489018589118</v>
      </c>
    </row>
    <row r="107" spans="1:14">
      <c r="A107" s="192"/>
      <c r="B107" s="16">
        <v>2015</v>
      </c>
      <c r="C107" s="163">
        <f>C48/'Nominal GDP'!$C48</f>
        <v>0.45787866093471019</v>
      </c>
      <c r="D107" s="163">
        <f>D48/'Nominal GDP'!$C48</f>
        <v>0.37887852671907857</v>
      </c>
      <c r="E107" s="163">
        <f>E48/'Nominal GDP'!$C48</f>
        <v>0.35028246289751214</v>
      </c>
      <c r="F107" s="163"/>
      <c r="G107" s="163">
        <f>G48/'Nominal GDP'!$C48</f>
        <v>0.37513675759436782</v>
      </c>
      <c r="H107" s="163">
        <f>H48/'Nominal GDP'!$C48</f>
        <v>0.35162055207363152</v>
      </c>
      <c r="I107" s="163"/>
      <c r="J107" s="163">
        <f>J48/'Nominal GDP'!$C48</f>
        <v>0.18908542214883292</v>
      </c>
      <c r="K107" s="163">
        <f>K48/'Nominal GDP'!$C48</f>
        <v>0.24659478673949559</v>
      </c>
      <c r="L107" s="164">
        <f>L48/'Nominal GDP'!$C48</f>
        <v>9.2831901022072366E-2</v>
      </c>
    </row>
    <row r="108" spans="1:14">
      <c r="A108" s="192"/>
      <c r="B108" s="16">
        <v>2016</v>
      </c>
      <c r="C108" s="163">
        <f>C49/'Nominal GDP'!$C49</f>
        <v>0.44013579956046672</v>
      </c>
      <c r="D108" s="163">
        <f>D49/'Nominal GDP'!$C49</f>
        <v>0.36028982932358994</v>
      </c>
      <c r="E108" s="163">
        <f>E49/'Nominal GDP'!$C49</f>
        <v>0.3357447153655117</v>
      </c>
      <c r="F108" s="163"/>
      <c r="G108" s="163">
        <f>G49/'Nominal GDP'!$C49</f>
        <v>0.36893372626114768</v>
      </c>
      <c r="H108" s="163">
        <f>H49/'Nominal GDP'!$C49</f>
        <v>0.34516107851732836</v>
      </c>
      <c r="I108" s="163"/>
      <c r="J108" s="163">
        <f>J49/'Nominal GDP'!$C49</f>
        <v>0.18256466507796115</v>
      </c>
      <c r="K108" s="163">
        <f>K49/'Nominal GDP'!$C49</f>
        <v>0.23900104669172031</v>
      </c>
      <c r="L108" s="164">
        <f>L49/'Nominal GDP'!$C49</f>
        <v>8.9578399527250677E-2</v>
      </c>
    </row>
    <row r="109" spans="1:14">
      <c r="A109" s="192"/>
      <c r="B109" s="16">
        <v>2017</v>
      </c>
      <c r="C109" s="163">
        <f>C50/'Nominal GDP'!$C50</f>
        <v>0.40543941399379907</v>
      </c>
      <c r="D109" s="163">
        <f>D50/'Nominal GDP'!$C50</f>
        <v>0.33586568273711315</v>
      </c>
      <c r="E109" s="163">
        <f>E50/'Nominal GDP'!$C50</f>
        <v>0.31599731655576307</v>
      </c>
      <c r="F109" s="163"/>
      <c r="G109" s="163">
        <f>G50/'Nominal GDP'!$C50</f>
        <v>0.42235961779051001</v>
      </c>
      <c r="H109" s="163">
        <f>H50/'Nominal GDP'!$C50</f>
        <v>0.40081953837506573</v>
      </c>
      <c r="I109" s="163"/>
      <c r="J109" s="163">
        <f>J50/'Nominal GDP'!$C50</f>
        <v>0.1721248164197777</v>
      </c>
      <c r="K109" s="163">
        <f>K50/'Nominal GDP'!$C50</f>
        <v>0.21569089623411239</v>
      </c>
      <c r="L109" s="164">
        <f>L50/'Nominal GDP'!$C50</f>
        <v>5.8921922651533003E-2</v>
      </c>
      <c r="N109" s="117"/>
    </row>
    <row r="110" spans="1:14">
      <c r="A110" s="192"/>
      <c r="B110" s="16">
        <v>2018</v>
      </c>
      <c r="C110" s="163">
        <f>C51/'Nominal GDP'!$C51</f>
        <v>0.39125948529884402</v>
      </c>
      <c r="D110" s="163">
        <f>D51/'Nominal GDP'!$C51</f>
        <v>0.32287060749892588</v>
      </c>
      <c r="E110" s="163">
        <f>E51/'Nominal GDP'!$C51</f>
        <v>0.29788997560802333</v>
      </c>
      <c r="F110" s="163"/>
      <c r="G110" s="163">
        <f>G51/'Nominal GDP'!$C51</f>
        <v>0.4588702556590401</v>
      </c>
      <c r="H110" s="163">
        <f>H51/'Nominal GDP'!$C51</f>
        <v>0.43859548224054345</v>
      </c>
      <c r="I110" s="163"/>
      <c r="J110" s="163">
        <f>J51/'Nominal GDP'!$C51</f>
        <v>0.15307064877245094</v>
      </c>
      <c r="K110" s="163">
        <f>K51/'Nominal GDP'!$C51</f>
        <v>0.19450994455138723</v>
      </c>
      <c r="L110" s="164">
        <f>L51/'Nominal GDP'!$C51</f>
        <v>3.7953976636478357E-2</v>
      </c>
    </row>
    <row r="111" spans="1:14">
      <c r="A111" s="192"/>
      <c r="B111" s="16">
        <v>2019</v>
      </c>
      <c r="C111" s="169">
        <f>C52/'Nominal GDP'!$C52</f>
        <v>0.35526854277639752</v>
      </c>
      <c r="D111" s="169">
        <f>D52/'Nominal GDP'!$C52</f>
        <v>0.29301727554838025</v>
      </c>
      <c r="E111" s="169">
        <f>E52/'Nominal GDP'!$C52</f>
        <v>0.27213258443621646</v>
      </c>
      <c r="F111" s="169"/>
      <c r="G111" s="169">
        <f>G52/'Nominal GDP'!$C52</f>
        <v>0.4619025982605221</v>
      </c>
      <c r="H111" s="169">
        <f>H52/'Nominal GDP'!$C52</f>
        <v>0.44131114999532745</v>
      </c>
      <c r="I111" s="169"/>
      <c r="J111" s="169">
        <f>J52/'Nominal GDP'!$C52</f>
        <v>0.14143650325628457</v>
      </c>
      <c r="K111" s="169">
        <f>K52/'Nominal GDP'!$C52</f>
        <v>0.18605130783087298</v>
      </c>
      <c r="L111" s="176">
        <f>L52/'Nominal GDP'!$C52</f>
        <v>1.7505263870225541E-2</v>
      </c>
    </row>
    <row r="112" spans="1:14">
      <c r="A112" s="192"/>
      <c r="B112" s="16">
        <v>2020</v>
      </c>
      <c r="C112" s="169">
        <f>C53/'Nominal GDP'!$C53</f>
        <v>0.48079247944187686</v>
      </c>
      <c r="D112" s="169">
        <f>D53/'Nominal GDP'!$C53</f>
        <v>0.39084045889005026</v>
      </c>
      <c r="E112" s="169">
        <f>E53/'Nominal GDP'!$C53</f>
        <v>0.32193139316702135</v>
      </c>
      <c r="F112" s="169"/>
      <c r="G112" s="169">
        <f>G53/'Nominal GDP'!$C53</f>
        <v>0.36501844879043938</v>
      </c>
      <c r="H112" s="169">
        <f>H53/'Nominal GDP'!$C53</f>
        <v>0.34731579543880414</v>
      </c>
      <c r="I112" s="169"/>
      <c r="J112" s="169">
        <f>J53/'Nominal GDP'!$C53</f>
        <v>0.21665995038345778</v>
      </c>
      <c r="K112" s="169">
        <f>K53/'Nominal GDP'!$C53</f>
        <v>0.26248599025299402</v>
      </c>
      <c r="L112" s="176">
        <f>L53/'Nominal GDP'!$C53</f>
        <v>0.11242581445428099</v>
      </c>
    </row>
    <row r="113" spans="1:15">
      <c r="A113" s="192"/>
      <c r="B113" s="16">
        <v>2021</v>
      </c>
      <c r="C113" s="169">
        <f>C54/'Nominal GDP'!$C54</f>
        <v>0.47354515079395132</v>
      </c>
      <c r="D113" s="169">
        <f>D54/'Nominal GDP'!$C54</f>
        <v>0.38235508312383659</v>
      </c>
      <c r="E113" s="169">
        <f>E54/'Nominal GDP'!$C54</f>
        <v>0.29373723720661959</v>
      </c>
      <c r="F113" s="169"/>
      <c r="G113" s="169">
        <f>G54/'Nominal GDP'!$C54</f>
        <v>0.45791081993573818</v>
      </c>
      <c r="H113" s="169">
        <f>H54/'Nominal GDP'!$C54</f>
        <v>0.44123653079237829</v>
      </c>
      <c r="I113" s="169"/>
      <c r="J113" s="169">
        <f>J54/'Nominal GDP'!$C54</f>
        <v>0.24280841171861117</v>
      </c>
      <c r="K113" s="169">
        <f>K54/'Nominal GDP'!$C54</f>
        <v>0.29736398248675289</v>
      </c>
      <c r="L113" s="176">
        <f>L54/'Nominal GDP'!$C54</f>
        <v>0.10463961221499463</v>
      </c>
    </row>
    <row r="114" spans="1:15">
      <c r="A114" s="192"/>
      <c r="B114" s="16">
        <v>2022</v>
      </c>
      <c r="C114" s="169">
        <f>C55/'Nominal GDP'!$C55</f>
        <v>0.55767453560159896</v>
      </c>
      <c r="D114" s="163">
        <v>0.45643832414639374</v>
      </c>
      <c r="E114" s="169">
        <f>E55/'Nominal GDP'!$C55</f>
        <v>0.3252292599701429</v>
      </c>
      <c r="F114" s="169"/>
      <c r="G114" s="169">
        <f>G55/'Nominal GDP'!$C55</f>
        <v>0.47661739696288641</v>
      </c>
      <c r="H114" s="169">
        <f>H55/'Nominal GDP'!$C55</f>
        <v>0.45670445286568129</v>
      </c>
      <c r="I114" s="169"/>
      <c r="J114" s="169">
        <f>J55/'Nominal GDP'!$C55</f>
        <v>0.28099042494435966</v>
      </c>
      <c r="K114" s="169">
        <f>K55/'Nominal GDP'!$C55</f>
        <v>0.35236040706290228</v>
      </c>
      <c r="L114" s="176">
        <f>L55/'Nominal GDP'!$C55</f>
        <v>0.16910827851326893</v>
      </c>
    </row>
    <row r="115" spans="1:15">
      <c r="A115" s="192"/>
      <c r="B115" s="16">
        <v>2023</v>
      </c>
      <c r="C115" s="169">
        <f>C56/'Nominal GDP'!$C56</f>
        <v>0.56456994039467989</v>
      </c>
      <c r="D115" s="163"/>
      <c r="E115" s="169">
        <f>E56/'Nominal GDP'!$C56</f>
        <v>0.33808466246059926</v>
      </c>
      <c r="F115" s="163"/>
      <c r="G115" s="169">
        <f>G56/'Nominal GDP'!$C56</f>
        <v>0.47672305187206515</v>
      </c>
      <c r="H115" s="169">
        <f>H56/'Nominal GDP'!$C56</f>
        <v>0.45690938696650252</v>
      </c>
      <c r="I115" s="163"/>
      <c r="J115" s="163"/>
      <c r="K115" s="169">
        <f>K56/'Nominal GDP'!$C56</f>
        <v>0.38659552536836289</v>
      </c>
      <c r="L115" s="176">
        <f>L56/'Nominal GDP'!$C56</f>
        <v>0.17768809038895333</v>
      </c>
    </row>
    <row r="116" spans="1:15">
      <c r="A116" s="192"/>
      <c r="B116" s="16">
        <v>2024</v>
      </c>
      <c r="C116" s="169">
        <f>C57/'Nominal GDP'!$C57</f>
        <v>0.59729134682899543</v>
      </c>
      <c r="D116" s="163"/>
      <c r="E116" s="169">
        <f>E57/'Nominal GDP'!$C57</f>
        <v>0.41883204208171182</v>
      </c>
      <c r="F116" s="163"/>
      <c r="G116" s="169">
        <f>G57/'Nominal GDP'!$C57</f>
        <v>0.45473240744046556</v>
      </c>
      <c r="H116" s="169">
        <f>H57/'Nominal GDP'!$C57</f>
        <v>0.43276089828269487</v>
      </c>
      <c r="I116" s="163"/>
      <c r="J116" s="163"/>
      <c r="K116" s="169">
        <f>K57/'Nominal GDP'!$C57</f>
        <v>0.41763718804669925</v>
      </c>
      <c r="L116" s="176">
        <f>L57/'Nominal GDP'!$C57</f>
        <v>0.19564425720304188</v>
      </c>
      <c r="O116" s="132"/>
    </row>
    <row r="117" spans="1:15">
      <c r="A117" s="193"/>
      <c r="B117" s="129">
        <v>2025</v>
      </c>
      <c r="C117" s="165">
        <f>C58/'Nominal GDP'!$C58</f>
        <v>0.62390077573417291</v>
      </c>
      <c r="D117" s="165"/>
      <c r="E117" s="165">
        <f>E58/'Nominal GDP'!$C58</f>
        <v>0.46706397341912348</v>
      </c>
      <c r="F117" s="165"/>
      <c r="G117" s="165">
        <f>G58/'Nominal GDP'!$C58</f>
        <v>0.43367736520959499</v>
      </c>
      <c r="H117" s="165">
        <f>H58/'Nominal GDP'!$C58</f>
        <v>0.41104968321703816</v>
      </c>
      <c r="I117" s="165"/>
      <c r="J117" s="165"/>
      <c r="K117" s="165">
        <f>K58/'Nominal GDP'!$C58</f>
        <v>0.41772471182266574</v>
      </c>
      <c r="L117" s="177">
        <f>L58/'Nominal GDP'!$C58</f>
        <v>0.20343588555914544</v>
      </c>
    </row>
    <row r="118" spans="1:15">
      <c r="B118" s="16"/>
      <c r="C118" s="132"/>
      <c r="D118" s="132"/>
      <c r="E118" s="132"/>
      <c r="F118" s="132"/>
      <c r="G118" s="132"/>
      <c r="H118" s="132"/>
      <c r="I118" s="132"/>
      <c r="J118" s="132"/>
      <c r="K118" s="132"/>
      <c r="L118" s="132"/>
    </row>
    <row r="126" spans="1:15" ht="12.75" customHeight="1"/>
    <row r="127" spans="1:15" ht="12.75" customHeight="1"/>
    <row r="128" spans="1:15" ht="12.75" customHeight="1"/>
    <row r="129" ht="12.75" customHeight="1"/>
    <row r="130" ht="12.75" customHeight="1"/>
    <row r="131" ht="12.75" customHeight="1"/>
    <row r="132" ht="12.75" customHeight="1"/>
    <row r="133" ht="12.75" customHeight="1"/>
    <row r="134" ht="12.75" customHeight="1"/>
  </sheetData>
  <mergeCells count="12">
    <mergeCell ref="A86:A96"/>
    <mergeCell ref="A64:A81"/>
    <mergeCell ref="A82:A85"/>
    <mergeCell ref="A38:A58"/>
    <mergeCell ref="A97:A117"/>
    <mergeCell ref="J3:L3"/>
    <mergeCell ref="J62:L62"/>
    <mergeCell ref="C3:E3"/>
    <mergeCell ref="C62:E62"/>
    <mergeCell ref="A5:A22"/>
    <mergeCell ref="A23:A26"/>
    <mergeCell ref="A27:A37"/>
  </mergeCells>
  <phoneticPr fontId="23" type="noConversion"/>
  <hyperlinks>
    <hyperlink ref="C3:E3" location="'Series Descriptions'!A97" display="Gross Debt Measures" xr:uid="{00000000-0004-0000-0500-000000000000}"/>
    <hyperlink ref="G3" location="'Series Descriptions'!A129" display="Net Worth" xr:uid="{00000000-0004-0000-0500-000001000000}"/>
    <hyperlink ref="C62:E62" location="'Series Descriptions'!A97" display="Gross Debt Measures" xr:uid="{00000000-0004-0000-0500-000002000000}"/>
    <hyperlink ref="G62" location="'Series Descriptions'!A129" display="Net Worth" xr:uid="{00000000-0004-0000-0500-000003000000}"/>
    <hyperlink ref="J3" location="'Series Descriptions'!A234" display="Net Debt" xr:uid="{00000000-0004-0000-0500-000004000000}"/>
    <hyperlink ref="J3:L3" location="'Series Descriptions'!A113" display="Net Debt Measures" xr:uid="{00000000-0004-0000-0500-000005000000}"/>
    <hyperlink ref="J62" location="'Series Descriptions'!A234" display="Net Debt" xr:uid="{00000000-0004-0000-0500-000006000000}"/>
    <hyperlink ref="J62:L62" location="'Series Descriptions'!A113" display="Net Debt Measures" xr:uid="{00000000-0004-0000-0500-000007000000}"/>
  </hyperlinks>
  <pageMargins left="0.7" right="0.7" top="0.75" bottom="0.75" header="0.3" footer="0.3"/>
  <pageSetup paperSize="9" scale="75" orientation="portrait" horizontalDpi="300" verticalDpi="300" r:id="rId1"/>
  <rowBreaks count="1" manualBreakCount="1">
    <brk id="6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17"/>
  <sheetViews>
    <sheetView zoomScaleNormal="100" workbookViewId="0">
      <pane xSplit="2" ySplit="4" topLeftCell="C107" activePane="bottomRight" state="frozen"/>
      <selection pane="topRight" activeCell="H72" sqref="H72"/>
      <selection pane="bottomLeft" activeCell="H72" sqref="H72"/>
      <selection pane="bottomRight" activeCell="H117" sqref="H117"/>
    </sheetView>
  </sheetViews>
  <sheetFormatPr defaultRowHeight="12.75"/>
  <cols>
    <col min="1" max="1" width="6.28515625" customWidth="1"/>
    <col min="3" max="8" width="10.28515625" customWidth="1"/>
  </cols>
  <sheetData>
    <row r="1" spans="1:8" ht="15.75">
      <c r="A1" s="1" t="s">
        <v>113</v>
      </c>
    </row>
    <row r="2" spans="1:8" ht="15.75">
      <c r="A2" s="1"/>
    </row>
    <row r="3" spans="1:8" ht="21" customHeight="1">
      <c r="A3" s="57" t="s">
        <v>30</v>
      </c>
      <c r="B3" s="8"/>
      <c r="C3" s="189" t="s">
        <v>114</v>
      </c>
      <c r="D3" s="189"/>
      <c r="E3" s="189"/>
      <c r="F3" s="189"/>
      <c r="G3" s="189"/>
      <c r="H3" s="190"/>
    </row>
    <row r="4" spans="1:8" ht="63.75" customHeight="1">
      <c r="A4" s="67"/>
      <c r="B4" s="9"/>
      <c r="C4" s="6" t="s">
        <v>115</v>
      </c>
      <c r="D4" s="6" t="s">
        <v>116</v>
      </c>
      <c r="E4" s="6" t="s">
        <v>117</v>
      </c>
      <c r="F4" s="6" t="s">
        <v>118</v>
      </c>
      <c r="G4" s="6" t="s">
        <v>119</v>
      </c>
      <c r="H4" s="59" t="s">
        <v>120</v>
      </c>
    </row>
    <row r="5" spans="1:8" ht="12.75" customHeight="1">
      <c r="A5" s="191" t="s">
        <v>37</v>
      </c>
      <c r="B5" s="11">
        <v>1972</v>
      </c>
      <c r="C5" s="19"/>
      <c r="D5" s="19"/>
      <c r="E5" s="19"/>
      <c r="F5" s="19"/>
      <c r="G5" s="19"/>
      <c r="H5" s="68"/>
    </row>
    <row r="6" spans="1:8">
      <c r="A6" s="192"/>
      <c r="B6" s="13">
        <v>1973</v>
      </c>
      <c r="H6" s="69"/>
    </row>
    <row r="7" spans="1:8">
      <c r="A7" s="192"/>
      <c r="B7" s="13">
        <v>1974</v>
      </c>
      <c r="H7" s="69"/>
    </row>
    <row r="8" spans="1:8">
      <c r="A8" s="192"/>
      <c r="B8" s="13">
        <v>1975</v>
      </c>
      <c r="H8" s="69"/>
    </row>
    <row r="9" spans="1:8">
      <c r="A9" s="192"/>
      <c r="B9" s="13">
        <v>1976</v>
      </c>
      <c r="H9" s="69"/>
    </row>
    <row r="10" spans="1:8">
      <c r="A10" s="192"/>
      <c r="B10" s="13">
        <v>1977</v>
      </c>
      <c r="H10" s="69"/>
    </row>
    <row r="11" spans="1:8">
      <c r="A11" s="192"/>
      <c r="B11" s="13">
        <v>1978</v>
      </c>
      <c r="H11" s="69"/>
    </row>
    <row r="12" spans="1:8">
      <c r="A12" s="192"/>
      <c r="B12" s="13">
        <v>1979</v>
      </c>
      <c r="H12" s="69"/>
    </row>
    <row r="13" spans="1:8">
      <c r="A13" s="192"/>
      <c r="B13" s="13">
        <v>1980</v>
      </c>
      <c r="H13" s="69"/>
    </row>
    <row r="14" spans="1:8">
      <c r="A14" s="192"/>
      <c r="B14" s="13">
        <v>1981</v>
      </c>
      <c r="H14" s="69"/>
    </row>
    <row r="15" spans="1:8">
      <c r="A15" s="192"/>
      <c r="B15" s="13">
        <v>1982</v>
      </c>
      <c r="H15" s="69"/>
    </row>
    <row r="16" spans="1:8">
      <c r="A16" s="192"/>
      <c r="B16" s="13">
        <v>1983</v>
      </c>
      <c r="H16" s="69"/>
    </row>
    <row r="17" spans="1:8">
      <c r="A17" s="192"/>
      <c r="B17" s="13">
        <v>1984</v>
      </c>
      <c r="H17" s="69"/>
    </row>
    <row r="18" spans="1:8">
      <c r="A18" s="192"/>
      <c r="B18" s="13">
        <v>1985</v>
      </c>
      <c r="H18" s="69"/>
    </row>
    <row r="19" spans="1:8">
      <c r="A19" s="192"/>
      <c r="B19" s="13">
        <v>1986</v>
      </c>
      <c r="H19" s="69"/>
    </row>
    <row r="20" spans="1:8">
      <c r="A20" s="192"/>
      <c r="B20" s="13">
        <v>1987</v>
      </c>
      <c r="H20" s="69"/>
    </row>
    <row r="21" spans="1:8">
      <c r="A21" s="192"/>
      <c r="B21" s="13">
        <v>1988</v>
      </c>
      <c r="H21" s="69"/>
    </row>
    <row r="22" spans="1:8">
      <c r="A22" s="193"/>
      <c r="B22" s="14">
        <v>1989</v>
      </c>
      <c r="C22" s="15"/>
      <c r="D22" s="15"/>
      <c r="E22" s="15"/>
      <c r="F22" s="15"/>
      <c r="G22" s="15"/>
      <c r="H22" s="70"/>
    </row>
    <row r="23" spans="1:8" ht="12.75" customHeight="1">
      <c r="A23" s="192" t="s">
        <v>41</v>
      </c>
      <c r="B23" s="13">
        <v>1990</v>
      </c>
      <c r="H23" s="69"/>
    </row>
    <row r="24" spans="1:8">
      <c r="A24" s="192"/>
      <c r="B24" s="13">
        <v>1991</v>
      </c>
      <c r="H24" s="69"/>
    </row>
    <row r="25" spans="1:8">
      <c r="A25" s="192"/>
      <c r="B25" s="13">
        <v>1992</v>
      </c>
      <c r="H25" s="69"/>
    </row>
    <row r="26" spans="1:8">
      <c r="A26" s="193"/>
      <c r="B26" s="14">
        <v>1993</v>
      </c>
      <c r="C26" s="15"/>
      <c r="D26" s="15"/>
      <c r="E26" s="15"/>
      <c r="F26" s="15"/>
      <c r="G26" s="15"/>
      <c r="H26" s="70"/>
    </row>
    <row r="27" spans="1:8" ht="12.75" customHeight="1">
      <c r="A27" s="191" t="s">
        <v>50</v>
      </c>
      <c r="B27" s="11">
        <v>1994</v>
      </c>
      <c r="C27" s="19"/>
      <c r="D27" s="19"/>
      <c r="E27" s="19"/>
      <c r="F27" s="19"/>
      <c r="G27" s="19"/>
      <c r="H27" s="68"/>
    </row>
    <row r="28" spans="1:8">
      <c r="A28" s="199"/>
      <c r="B28" s="13">
        <v>1995</v>
      </c>
      <c r="H28" s="69"/>
    </row>
    <row r="29" spans="1:8">
      <c r="A29" s="199"/>
      <c r="B29" s="13">
        <v>1996</v>
      </c>
      <c r="H29" s="69"/>
    </row>
    <row r="30" spans="1:8">
      <c r="A30" s="199"/>
      <c r="B30" s="13">
        <v>1997</v>
      </c>
      <c r="H30" s="69"/>
    </row>
    <row r="31" spans="1:8">
      <c r="A31" s="199"/>
      <c r="B31" s="13">
        <v>1998</v>
      </c>
      <c r="H31" s="69"/>
    </row>
    <row r="32" spans="1:8">
      <c r="A32" s="199"/>
      <c r="B32" s="13">
        <v>1999</v>
      </c>
      <c r="H32" s="69"/>
    </row>
    <row r="33" spans="1:11">
      <c r="A33" s="199"/>
      <c r="B33" s="13">
        <v>2000</v>
      </c>
      <c r="H33" s="69"/>
    </row>
    <row r="34" spans="1:11">
      <c r="A34" s="199"/>
      <c r="B34" s="13">
        <v>2001</v>
      </c>
      <c r="H34" s="69"/>
    </row>
    <row r="35" spans="1:11">
      <c r="A35" s="199"/>
      <c r="B35" s="13">
        <v>2002</v>
      </c>
      <c r="C35" s="92">
        <v>15</v>
      </c>
      <c r="D35" s="92">
        <v>600</v>
      </c>
      <c r="E35" s="93">
        <v>0</v>
      </c>
      <c r="F35" s="93">
        <v>0</v>
      </c>
      <c r="G35" s="92">
        <v>0</v>
      </c>
      <c r="H35" s="90">
        <v>615</v>
      </c>
    </row>
    <row r="36" spans="1:11">
      <c r="A36" s="199"/>
      <c r="B36" s="13">
        <v>2003</v>
      </c>
      <c r="C36" s="92">
        <v>69</v>
      </c>
      <c r="D36" s="92">
        <v>1200</v>
      </c>
      <c r="E36" s="93">
        <v>0</v>
      </c>
      <c r="F36" s="93">
        <v>0</v>
      </c>
      <c r="G36" s="92">
        <v>0</v>
      </c>
      <c r="H36" s="90">
        <v>1884</v>
      </c>
    </row>
    <row r="37" spans="1:11">
      <c r="A37" s="199"/>
      <c r="B37" s="13">
        <v>2004</v>
      </c>
      <c r="C37" s="92">
        <v>131</v>
      </c>
      <c r="D37" s="92">
        <v>1879</v>
      </c>
      <c r="E37" s="93">
        <v>77</v>
      </c>
      <c r="F37" s="93">
        <v>7</v>
      </c>
      <c r="G37" s="92">
        <v>146</v>
      </c>
      <c r="H37" s="90">
        <v>3956</v>
      </c>
      <c r="J37" s="16"/>
    </row>
    <row r="38" spans="1:11" ht="12.75" customHeight="1">
      <c r="A38" s="196" t="s">
        <v>55</v>
      </c>
      <c r="B38" s="11">
        <v>2005</v>
      </c>
      <c r="C38" s="100">
        <v>191</v>
      </c>
      <c r="D38" s="100">
        <v>2107</v>
      </c>
      <c r="E38" s="100">
        <v>234</v>
      </c>
      <c r="F38" s="100">
        <v>22</v>
      </c>
      <c r="G38" s="100">
        <v>557</v>
      </c>
      <c r="H38" s="102">
        <v>6555</v>
      </c>
    </row>
    <row r="39" spans="1:11">
      <c r="A39" s="197"/>
      <c r="B39" s="13">
        <v>2006</v>
      </c>
      <c r="C39" s="93">
        <v>359</v>
      </c>
      <c r="D39" s="93">
        <v>2337</v>
      </c>
      <c r="E39" s="93">
        <v>468</v>
      </c>
      <c r="F39" s="93">
        <v>58</v>
      </c>
      <c r="G39" s="93">
        <v>1130</v>
      </c>
      <c r="H39" s="96">
        <v>9855</v>
      </c>
      <c r="J39" s="77"/>
      <c r="K39" s="16"/>
    </row>
    <row r="40" spans="1:11">
      <c r="A40" s="197"/>
      <c r="B40" s="13">
        <v>2007</v>
      </c>
      <c r="C40" s="93">
        <v>436</v>
      </c>
      <c r="D40" s="93">
        <v>2049</v>
      </c>
      <c r="E40" s="93">
        <v>707</v>
      </c>
      <c r="F40" s="93">
        <v>-28</v>
      </c>
      <c r="G40" s="93">
        <v>1313</v>
      </c>
      <c r="H40" s="96">
        <v>12973</v>
      </c>
    </row>
    <row r="41" spans="1:11">
      <c r="A41" s="197"/>
      <c r="B41" s="13">
        <v>2008</v>
      </c>
      <c r="C41" s="93">
        <v>385</v>
      </c>
      <c r="D41" s="93">
        <v>2104</v>
      </c>
      <c r="E41" s="93">
        <v>237</v>
      </c>
      <c r="F41" s="93">
        <v>18</v>
      </c>
      <c r="G41" s="93">
        <v>-995</v>
      </c>
      <c r="H41" s="96">
        <v>14212</v>
      </c>
    </row>
    <row r="42" spans="1:11">
      <c r="A42" s="197"/>
      <c r="B42" s="13">
        <v>2009</v>
      </c>
      <c r="C42" s="93">
        <v>383</v>
      </c>
      <c r="D42" s="93">
        <v>2243</v>
      </c>
      <c r="E42" s="93">
        <v>4</v>
      </c>
      <c r="F42" s="93">
        <v>-349</v>
      </c>
      <c r="G42" s="93">
        <v>-3495</v>
      </c>
      <c r="H42" s="96">
        <v>13688</v>
      </c>
    </row>
    <row r="43" spans="1:11">
      <c r="A43" s="197"/>
      <c r="B43" s="13">
        <v>2010</v>
      </c>
      <c r="C43" s="93">
        <v>433</v>
      </c>
      <c r="D43" s="93">
        <v>250</v>
      </c>
      <c r="E43" s="93">
        <v>-27</v>
      </c>
      <c r="F43" s="93">
        <v>492</v>
      </c>
      <c r="G43" s="93">
        <v>1750</v>
      </c>
      <c r="H43" s="96">
        <v>15656</v>
      </c>
    </row>
    <row r="44" spans="1:11" ht="13.5" customHeight="1">
      <c r="A44" s="197"/>
      <c r="B44" s="13">
        <v>2011</v>
      </c>
      <c r="C44" s="93">
        <v>518</v>
      </c>
      <c r="D44" s="93">
        <v>0</v>
      </c>
      <c r="E44" s="93">
        <v>872</v>
      </c>
      <c r="F44" s="93">
        <v>168</v>
      </c>
      <c r="G44" s="93">
        <v>3518</v>
      </c>
      <c r="H44" s="96">
        <v>18652</v>
      </c>
    </row>
    <row r="45" spans="1:11">
      <c r="A45" s="197"/>
      <c r="B45" s="13">
        <v>2012</v>
      </c>
      <c r="C45" s="93">
        <v>539</v>
      </c>
      <c r="D45" s="93">
        <v>0</v>
      </c>
      <c r="E45" s="93">
        <v>160</v>
      </c>
      <c r="F45" s="93">
        <v>124</v>
      </c>
      <c r="G45" s="93">
        <v>-204</v>
      </c>
      <c r="H45" s="96">
        <v>18703</v>
      </c>
    </row>
    <row r="46" spans="1:11">
      <c r="A46" s="197"/>
      <c r="B46" s="13">
        <v>2013</v>
      </c>
      <c r="C46" s="93">
        <v>595</v>
      </c>
      <c r="D46" s="93">
        <v>0</v>
      </c>
      <c r="E46" s="93">
        <v>983</v>
      </c>
      <c r="F46" s="93">
        <v>140</v>
      </c>
      <c r="G46" s="93">
        <v>4374</v>
      </c>
      <c r="H46" s="96">
        <v>22549</v>
      </c>
    </row>
    <row r="47" spans="1:11">
      <c r="A47" s="197"/>
      <c r="B47" s="13">
        <v>2014</v>
      </c>
      <c r="C47" s="93">
        <v>767</v>
      </c>
      <c r="D47" s="93">
        <v>0</v>
      </c>
      <c r="E47" s="93">
        <v>1074</v>
      </c>
      <c r="F47" s="93">
        <v>164</v>
      </c>
      <c r="G47" s="93">
        <v>3735</v>
      </c>
      <c r="H47" s="96">
        <v>25809</v>
      </c>
    </row>
    <row r="48" spans="1:11">
      <c r="A48" s="197"/>
      <c r="B48" s="13">
        <v>2015</v>
      </c>
      <c r="C48" s="93">
        <v>760</v>
      </c>
      <c r="D48" s="93">
        <v>0</v>
      </c>
      <c r="E48" s="93">
        <v>46</v>
      </c>
      <c r="F48" s="93">
        <v>198</v>
      </c>
      <c r="G48" s="93">
        <v>3156</v>
      </c>
      <c r="H48" s="96">
        <v>29522</v>
      </c>
    </row>
    <row r="49" spans="1:13">
      <c r="A49" s="197"/>
      <c r="B49" s="13">
        <v>2016</v>
      </c>
      <c r="C49" s="93">
        <v>752</v>
      </c>
      <c r="D49" s="93">
        <v>0</v>
      </c>
      <c r="E49" s="93">
        <v>512</v>
      </c>
      <c r="F49" s="93">
        <v>138</v>
      </c>
      <c r="G49" s="93">
        <v>-76</v>
      </c>
      <c r="H49" s="96">
        <v>29527</v>
      </c>
    </row>
    <row r="50" spans="1:13">
      <c r="A50" s="197"/>
      <c r="B50" s="13">
        <v>2017</v>
      </c>
      <c r="C50" s="93">
        <v>833</v>
      </c>
      <c r="D50" s="93">
        <v>0</v>
      </c>
      <c r="E50" s="93">
        <v>1139</v>
      </c>
      <c r="F50" s="93">
        <v>227</v>
      </c>
      <c r="G50" s="93">
        <v>5512</v>
      </c>
      <c r="H50" s="96">
        <v>34506</v>
      </c>
    </row>
    <row r="51" spans="1:13">
      <c r="A51" s="197"/>
      <c r="B51" s="13">
        <v>2018</v>
      </c>
      <c r="C51" s="111">
        <v>935</v>
      </c>
      <c r="D51" s="111">
        <v>500</v>
      </c>
      <c r="E51" s="111">
        <v>241</v>
      </c>
      <c r="F51" s="115">
        <v>341</v>
      </c>
      <c r="G51" s="120">
        <v>3564</v>
      </c>
      <c r="H51" s="119">
        <v>39053</v>
      </c>
    </row>
    <row r="52" spans="1:13">
      <c r="A52" s="197"/>
      <c r="B52" s="13">
        <v>2019</v>
      </c>
      <c r="C52" s="115">
        <v>1133</v>
      </c>
      <c r="D52" s="115">
        <v>1000</v>
      </c>
      <c r="E52" s="115">
        <v>540</v>
      </c>
      <c r="F52" s="118">
        <v>255</v>
      </c>
      <c r="G52" s="118">
        <v>1986</v>
      </c>
      <c r="H52" s="113">
        <v>42445</v>
      </c>
    </row>
    <row r="53" spans="1:13">
      <c r="A53" s="197"/>
      <c r="B53" s="13">
        <v>2020</v>
      </c>
      <c r="C53" s="93">
        <v>803</v>
      </c>
      <c r="D53" s="124">
        <v>1460</v>
      </c>
      <c r="E53" s="125">
        <v>448</v>
      </c>
      <c r="F53" s="93">
        <v>150</v>
      </c>
      <c r="G53" s="126">
        <v>17</v>
      </c>
      <c r="H53" s="127">
        <v>43997</v>
      </c>
    </row>
    <row r="54" spans="1:13">
      <c r="A54" s="197"/>
      <c r="B54" s="13">
        <v>2021</v>
      </c>
      <c r="C54" s="93">
        <v>742</v>
      </c>
      <c r="D54" s="124">
        <v>2120</v>
      </c>
      <c r="E54" s="125">
        <v>2156</v>
      </c>
      <c r="F54" s="93">
        <v>124</v>
      </c>
      <c r="G54" s="126">
        <v>12786</v>
      </c>
      <c r="H54" s="127">
        <v>57365</v>
      </c>
      <c r="I54" s="103"/>
    </row>
    <row r="55" spans="1:13">
      <c r="A55" s="197"/>
      <c r="B55" s="13">
        <v>2022</v>
      </c>
      <c r="C55" s="93">
        <v>1077</v>
      </c>
      <c r="D55" s="124">
        <v>2420</v>
      </c>
      <c r="E55" s="125">
        <v>35</v>
      </c>
      <c r="F55" s="93">
        <v>-516</v>
      </c>
      <c r="G55" s="126">
        <v>-5133</v>
      </c>
      <c r="H55" s="127">
        <v>56210</v>
      </c>
      <c r="I55" s="103"/>
    </row>
    <row r="56" spans="1:13">
      <c r="A56" s="197"/>
      <c r="B56" s="13">
        <v>2023</v>
      </c>
      <c r="C56" s="93">
        <v>1320</v>
      </c>
      <c r="D56" s="124">
        <v>2558</v>
      </c>
      <c r="E56" s="125">
        <v>127</v>
      </c>
      <c r="F56" s="93">
        <v>1054</v>
      </c>
      <c r="G56" s="126">
        <v>5766</v>
      </c>
      <c r="H56" s="127">
        <v>64673</v>
      </c>
      <c r="I56" s="103"/>
      <c r="J56" s="103"/>
    </row>
    <row r="57" spans="1:13">
      <c r="A57" s="197"/>
      <c r="B57" s="13">
        <v>2024</v>
      </c>
      <c r="C57" s="93">
        <v>1659</v>
      </c>
      <c r="D57" s="124">
        <v>1614</v>
      </c>
      <c r="E57" s="125">
        <v>1290</v>
      </c>
      <c r="F57" s="93">
        <v>189</v>
      </c>
      <c r="G57" s="126">
        <v>8352</v>
      </c>
      <c r="H57" s="127">
        <v>74819</v>
      </c>
      <c r="I57" s="103"/>
      <c r="J57" s="103"/>
      <c r="M57" s="77"/>
    </row>
    <row r="58" spans="1:13">
      <c r="A58" s="198"/>
      <c r="B58" s="128">
        <v>2025</v>
      </c>
      <c r="C58" s="95">
        <v>1784</v>
      </c>
      <c r="D58" s="153">
        <v>879</v>
      </c>
      <c r="E58" s="154">
        <v>1755</v>
      </c>
      <c r="F58" s="95">
        <v>193</v>
      </c>
      <c r="G58" s="152">
        <v>7313</v>
      </c>
      <c r="H58" s="155">
        <v>82847</v>
      </c>
      <c r="I58" s="103"/>
      <c r="J58" s="103"/>
      <c r="K58" s="103"/>
    </row>
    <row r="59" spans="1:13">
      <c r="K59" s="103"/>
    </row>
    <row r="60" spans="1:13">
      <c r="A60" t="s">
        <v>121</v>
      </c>
      <c r="K60" s="103"/>
    </row>
    <row r="61" spans="1:13">
      <c r="K61" s="103"/>
    </row>
    <row r="62" spans="1:13" ht="13.5" customHeight="1">
      <c r="A62" s="57" t="s">
        <v>79</v>
      </c>
      <c r="B62" s="8"/>
      <c r="C62" s="189" t="s">
        <v>114</v>
      </c>
      <c r="D62" s="189"/>
      <c r="E62" s="189"/>
      <c r="F62" s="189"/>
      <c r="G62" s="189"/>
      <c r="H62" s="190"/>
    </row>
    <row r="63" spans="1:13" ht="39.75" customHeight="1">
      <c r="A63" s="67"/>
      <c r="B63" s="9"/>
      <c r="C63" s="6" t="s">
        <v>115</v>
      </c>
      <c r="D63" s="6" t="s">
        <v>116</v>
      </c>
      <c r="E63" s="6" t="s">
        <v>122</v>
      </c>
      <c r="F63" s="6" t="s">
        <v>123</v>
      </c>
      <c r="G63" s="6" t="s">
        <v>119</v>
      </c>
      <c r="H63" s="59" t="s">
        <v>120</v>
      </c>
    </row>
    <row r="64" spans="1:13" ht="12.75" customHeight="1">
      <c r="A64" s="191" t="s">
        <v>37</v>
      </c>
      <c r="B64" s="11">
        <v>1972</v>
      </c>
      <c r="C64" s="19"/>
      <c r="D64" s="19"/>
      <c r="E64" s="19"/>
      <c r="F64" s="19"/>
      <c r="G64" s="19"/>
      <c r="H64" s="68"/>
    </row>
    <row r="65" spans="1:8">
      <c r="A65" s="192"/>
      <c r="B65" s="13">
        <v>1973</v>
      </c>
      <c r="H65" s="69"/>
    </row>
    <row r="66" spans="1:8">
      <c r="A66" s="192"/>
      <c r="B66" s="13">
        <v>1974</v>
      </c>
      <c r="H66" s="69"/>
    </row>
    <row r="67" spans="1:8">
      <c r="A67" s="192"/>
      <c r="B67" s="13">
        <v>1975</v>
      </c>
      <c r="H67" s="69"/>
    </row>
    <row r="68" spans="1:8">
      <c r="A68" s="192"/>
      <c r="B68" s="13">
        <v>1976</v>
      </c>
      <c r="H68" s="69"/>
    </row>
    <row r="69" spans="1:8">
      <c r="A69" s="192"/>
      <c r="B69" s="13">
        <v>1977</v>
      </c>
      <c r="H69" s="69"/>
    </row>
    <row r="70" spans="1:8">
      <c r="A70" s="192"/>
      <c r="B70" s="13">
        <v>1978</v>
      </c>
      <c r="H70" s="69"/>
    </row>
    <row r="71" spans="1:8">
      <c r="A71" s="192"/>
      <c r="B71" s="13">
        <v>1979</v>
      </c>
      <c r="H71" s="69"/>
    </row>
    <row r="72" spans="1:8">
      <c r="A72" s="192"/>
      <c r="B72" s="13">
        <v>1980</v>
      </c>
      <c r="H72" s="69"/>
    </row>
    <row r="73" spans="1:8">
      <c r="A73" s="192"/>
      <c r="B73" s="13">
        <v>1981</v>
      </c>
      <c r="H73" s="69"/>
    </row>
    <row r="74" spans="1:8">
      <c r="A74" s="192"/>
      <c r="B74" s="13">
        <v>1982</v>
      </c>
      <c r="H74" s="69"/>
    </row>
    <row r="75" spans="1:8">
      <c r="A75" s="192"/>
      <c r="B75" s="13">
        <v>1983</v>
      </c>
      <c r="H75" s="69"/>
    </row>
    <row r="76" spans="1:8">
      <c r="A76" s="192"/>
      <c r="B76" s="13">
        <v>1984</v>
      </c>
      <c r="H76" s="69"/>
    </row>
    <row r="77" spans="1:8">
      <c r="A77" s="192"/>
      <c r="B77" s="13">
        <v>1985</v>
      </c>
      <c r="H77" s="69"/>
    </row>
    <row r="78" spans="1:8">
      <c r="A78" s="192"/>
      <c r="B78" s="13">
        <v>1986</v>
      </c>
      <c r="H78" s="69"/>
    </row>
    <row r="79" spans="1:8">
      <c r="A79" s="192"/>
      <c r="B79" s="13">
        <v>1987</v>
      </c>
      <c r="H79" s="69"/>
    </row>
    <row r="80" spans="1:8">
      <c r="A80" s="192"/>
      <c r="B80" s="13">
        <v>1988</v>
      </c>
      <c r="H80" s="69"/>
    </row>
    <row r="81" spans="1:8">
      <c r="A81" s="193"/>
      <c r="B81" s="14">
        <v>1989</v>
      </c>
      <c r="C81" s="15"/>
      <c r="D81" s="15"/>
      <c r="E81" s="15"/>
      <c r="F81" s="15"/>
      <c r="G81" s="15"/>
      <c r="H81" s="70"/>
    </row>
    <row r="82" spans="1:8">
      <c r="A82" s="192" t="s">
        <v>41</v>
      </c>
      <c r="B82" s="13">
        <v>1990</v>
      </c>
      <c r="H82" s="69"/>
    </row>
    <row r="83" spans="1:8">
      <c r="A83" s="192"/>
      <c r="B83" s="13">
        <v>1991</v>
      </c>
      <c r="H83" s="69"/>
    </row>
    <row r="84" spans="1:8">
      <c r="A84" s="192"/>
      <c r="B84" s="13">
        <v>1992</v>
      </c>
      <c r="H84" s="69"/>
    </row>
    <row r="85" spans="1:8">
      <c r="A85" s="193"/>
      <c r="B85" s="14">
        <v>1993</v>
      </c>
      <c r="C85" s="15"/>
      <c r="D85" s="15"/>
      <c r="E85" s="15"/>
      <c r="F85" s="15"/>
      <c r="G85" s="15"/>
      <c r="H85" s="70"/>
    </row>
    <row r="86" spans="1:8" ht="12.75" customHeight="1">
      <c r="A86" s="186" t="s">
        <v>50</v>
      </c>
      <c r="B86" s="11">
        <v>1994</v>
      </c>
      <c r="C86" s="19"/>
      <c r="D86" s="19"/>
      <c r="E86" s="19"/>
      <c r="F86" s="19"/>
      <c r="G86" s="19"/>
      <c r="H86" s="68"/>
    </row>
    <row r="87" spans="1:8">
      <c r="A87" s="188"/>
      <c r="B87" s="13">
        <v>1995</v>
      </c>
      <c r="H87" s="69"/>
    </row>
    <row r="88" spans="1:8">
      <c r="A88" s="188"/>
      <c r="B88" s="13">
        <v>1996</v>
      </c>
      <c r="H88" s="69"/>
    </row>
    <row r="89" spans="1:8">
      <c r="A89" s="188"/>
      <c r="B89" s="13">
        <v>1997</v>
      </c>
      <c r="H89" s="69"/>
    </row>
    <row r="90" spans="1:8">
      <c r="A90" s="188"/>
      <c r="B90" s="13">
        <v>1998</v>
      </c>
      <c r="H90" s="69"/>
    </row>
    <row r="91" spans="1:8">
      <c r="A91" s="188"/>
      <c r="B91" s="13">
        <v>1999</v>
      </c>
      <c r="H91" s="69"/>
    </row>
    <row r="92" spans="1:8">
      <c r="A92" s="188"/>
      <c r="B92" s="13">
        <v>2000</v>
      </c>
      <c r="H92" s="69"/>
    </row>
    <row r="93" spans="1:8">
      <c r="A93" s="188"/>
      <c r="B93" s="13">
        <v>2001</v>
      </c>
      <c r="H93" s="69"/>
    </row>
    <row r="94" spans="1:8">
      <c r="A94" s="188"/>
      <c r="B94" s="13">
        <v>2002</v>
      </c>
      <c r="C94" s="21">
        <f>C35/'Nominal GDP'!$C35</f>
        <v>1.1543522929284378E-4</v>
      </c>
      <c r="D94" s="21">
        <f>D35/'Nominal GDP'!$C35</f>
        <v>4.6174091717137511E-3</v>
      </c>
      <c r="E94" s="21">
        <f>E35/'Nominal GDP'!$C35</f>
        <v>0</v>
      </c>
      <c r="F94" s="21">
        <f>F35/'Nominal GDP'!$C35</f>
        <v>0</v>
      </c>
      <c r="G94" s="21">
        <f>G35/'Nominal GDP'!$C35</f>
        <v>0</v>
      </c>
      <c r="H94" s="64">
        <f>H35/'Nominal GDP'!$C35</f>
        <v>4.7328444010065951E-3</v>
      </c>
    </row>
    <row r="95" spans="1:8">
      <c r="A95" s="188"/>
      <c r="B95" s="13">
        <v>2003</v>
      </c>
      <c r="C95" s="21">
        <f>C36/'Nominal GDP'!$C36</f>
        <v>5.0300344083513155E-4</v>
      </c>
      <c r="D95" s="21">
        <f>D36/'Nominal GDP'!$C36</f>
        <v>8.7478859275675041E-3</v>
      </c>
      <c r="E95" s="21">
        <f>E36/'Nominal GDP'!$C36</f>
        <v>0</v>
      </c>
      <c r="F95" s="21">
        <f>F36/'Nominal GDP'!$C36</f>
        <v>0</v>
      </c>
      <c r="G95" s="21">
        <f>G36/'Nominal GDP'!$C36</f>
        <v>0</v>
      </c>
      <c r="H95" s="64">
        <f>H36/'Nominal GDP'!$C36</f>
        <v>1.3734180906280983E-2</v>
      </c>
    </row>
    <row r="96" spans="1:8">
      <c r="A96" s="188"/>
      <c r="B96" s="13">
        <v>2004</v>
      </c>
      <c r="C96" s="21">
        <f>C37/'Nominal GDP'!$C37</f>
        <v>8.8774438383085424E-4</v>
      </c>
      <c r="D96" s="21">
        <f>D37/'Nominal GDP'!$C37</f>
        <v>1.2733371734489886E-2</v>
      </c>
      <c r="E96" s="21">
        <f>E37/'Nominal GDP'!$C37</f>
        <v>5.2180395080134178E-4</v>
      </c>
      <c r="F96" s="21">
        <f>F37/'Nominal GDP'!$C37</f>
        <v>4.7436722800121979E-5</v>
      </c>
      <c r="G96" s="21">
        <f>G37/'Nominal GDP'!$C37</f>
        <v>9.8939450411682987E-4</v>
      </c>
      <c r="H96" s="64">
        <f>H37/'Nominal GDP'!$C37</f>
        <v>2.6808525056754649E-2</v>
      </c>
    </row>
    <row r="97" spans="1:8" ht="12.75" customHeight="1">
      <c r="A97" s="191" t="s">
        <v>55</v>
      </c>
      <c r="B97" s="11">
        <v>2005</v>
      </c>
      <c r="C97" s="36">
        <f>C38/'Nominal GDP'!$C38</f>
        <v>1.2180889396248796E-3</v>
      </c>
      <c r="D97" s="36">
        <f>D38/'Nominal GDP'!$C38</f>
        <v>1.3437242909893305E-2</v>
      </c>
      <c r="E97" s="36">
        <f>E38/'Nominal GDP'!$C38</f>
        <v>1.4923183867655593E-3</v>
      </c>
      <c r="F97" s="36">
        <f>F38/'Nominal GDP'!$C38</f>
        <v>1.4030343807197566E-4</v>
      </c>
      <c r="G97" s="36">
        <f>G38/'Nominal GDP'!$C38</f>
        <v>3.5522279548222931E-3</v>
      </c>
      <c r="H97" s="66">
        <f>H38/'Nominal GDP'!$C38</f>
        <v>4.1804047116445475E-2</v>
      </c>
    </row>
    <row r="98" spans="1:8">
      <c r="A98" s="192"/>
      <c r="B98" s="13">
        <v>2006</v>
      </c>
      <c r="C98" s="34">
        <f>C39/'Nominal GDP'!$C39</f>
        <v>2.1828617987024435E-3</v>
      </c>
      <c r="D98" s="34">
        <f>D39/'Nominal GDP'!$C39</f>
        <v>1.4209883074004488E-2</v>
      </c>
      <c r="E98" s="34">
        <f>E39/'Nominal GDP'!$C39</f>
        <v>2.8456248517903723E-3</v>
      </c>
      <c r="F98" s="34">
        <f>F39/'Nominal GDP'!$C39</f>
        <v>3.526629089825675E-4</v>
      </c>
      <c r="G98" s="34">
        <f>G39/'Nominal GDP'!$C39</f>
        <v>6.8708463301776082E-3</v>
      </c>
      <c r="H98" s="60">
        <f>H39/'Nominal GDP'!$C39</f>
        <v>5.9922292552124189E-2</v>
      </c>
    </row>
    <row r="99" spans="1:8">
      <c r="A99" s="192"/>
      <c r="B99" s="13">
        <v>2007</v>
      </c>
      <c r="C99" s="34">
        <f>C40/'Nominal GDP'!$C40</f>
        <v>2.4855059657843881E-3</v>
      </c>
      <c r="D99" s="34">
        <f>D40/'Nominal GDP'!$C40</f>
        <v>1.1680737898835346E-2</v>
      </c>
      <c r="E99" s="34">
        <f>E40/'Nominal GDP'!$C40</f>
        <v>4.0303961417650514E-3</v>
      </c>
      <c r="F99" s="34">
        <f>F40/'Nominal GDP'!$C40</f>
        <v>-1.596196491788139E-4</v>
      </c>
      <c r="G99" s="34">
        <f>G40/'Nominal GDP'!$C40</f>
        <v>7.4850214061350949E-3</v>
      </c>
      <c r="H99" s="60">
        <f>H40/'Nominal GDP'!$C40</f>
        <v>7.3955203885598314E-2</v>
      </c>
    </row>
    <row r="100" spans="1:8">
      <c r="A100" s="192"/>
      <c r="B100" s="13">
        <v>2008</v>
      </c>
      <c r="C100" s="34">
        <f>C41/'Nominal GDP'!$C41</f>
        <v>2.0378133468834689E-3</v>
      </c>
      <c r="D100" s="34">
        <f>D41/'Nominal GDP'!$C41</f>
        <v>1.1136517615176152E-2</v>
      </c>
      <c r="E100" s="34">
        <f>E41/'Nominal GDP'!$C41</f>
        <v>1.2544461382113822E-3</v>
      </c>
      <c r="F100" s="34">
        <f>F41/'Nominal GDP'!$C41</f>
        <v>9.5274390243902442E-5</v>
      </c>
      <c r="G100" s="34">
        <f>G41/'Nominal GDP'!$C41</f>
        <v>-5.2665565718157184E-3</v>
      </c>
      <c r="H100" s="60">
        <f>H41/'Nominal GDP'!$C41</f>
        <v>7.5224424119241198E-2</v>
      </c>
    </row>
    <row r="101" spans="1:8">
      <c r="A101" s="192"/>
      <c r="B101" s="13">
        <v>2009</v>
      </c>
      <c r="C101" s="34">
        <f>C42/'Nominal GDP'!$C42</f>
        <v>2.0170952774690985E-3</v>
      </c>
      <c r="D101" s="34">
        <f>D42/'Nominal GDP'!$C42</f>
        <v>1.1812910463089262E-2</v>
      </c>
      <c r="E101" s="34">
        <f>E42/'Nominal GDP'!$C42</f>
        <v>2.1066269216387452E-5</v>
      </c>
      <c r="F101" s="34">
        <f>F42/'Nominal GDP'!$C42</f>
        <v>-1.8380319891298051E-3</v>
      </c>
      <c r="G101" s="34">
        <f>G42/'Nominal GDP'!$C42</f>
        <v>-1.8406652727818534E-2</v>
      </c>
      <c r="H101" s="60">
        <f>H42/'Nominal GDP'!$C42</f>
        <v>7.2088773258477859E-2</v>
      </c>
    </row>
    <row r="102" spans="1:8">
      <c r="A102" s="192"/>
      <c r="B102" s="16">
        <v>2010</v>
      </c>
      <c r="C102" s="34">
        <f>C43/'Nominal GDP'!$C43</f>
        <v>2.1940269769044458E-3</v>
      </c>
      <c r="D102" s="34">
        <f>D43/'Nominal GDP'!$C43</f>
        <v>1.2667592245406731E-3</v>
      </c>
      <c r="E102" s="34">
        <f>E43/'Nominal GDP'!$C43</f>
        <v>-1.368099962503927E-4</v>
      </c>
      <c r="F102" s="34">
        <f>F43/'Nominal GDP'!$C43</f>
        <v>2.4929821538960447E-3</v>
      </c>
      <c r="G102" s="34">
        <f>G43/'Nominal GDP'!$C43</f>
        <v>8.867314571784711E-3</v>
      </c>
      <c r="H102" s="60">
        <f>H43/'Nominal GDP'!$C43</f>
        <v>7.9329529677635111E-2</v>
      </c>
    </row>
    <row r="103" spans="1:8">
      <c r="A103" s="192"/>
      <c r="B103" s="16">
        <v>2011</v>
      </c>
      <c r="C103" s="34">
        <f>C44/'Nominal GDP'!$C44</f>
        <v>2.5131357432914316E-3</v>
      </c>
      <c r="D103" s="34">
        <f>D44/'Nominal GDP'!$C44</f>
        <v>0</v>
      </c>
      <c r="E103" s="34">
        <f>E44/'Nominal GDP'!$C44</f>
        <v>4.2306068883207109E-3</v>
      </c>
      <c r="F103" s="34">
        <f>F44/'Nominal GDP'!$C44</f>
        <v>8.1507105187830211E-4</v>
      </c>
      <c r="G103" s="34">
        <f>G44/'Nominal GDP'!$C44</f>
        <v>1.706797595540397E-2</v>
      </c>
      <c r="H103" s="60">
        <f>H44/'Nominal GDP'!$C44</f>
        <v>9.049229321210768E-2</v>
      </c>
    </row>
    <row r="104" spans="1:8">
      <c r="A104" s="192"/>
      <c r="B104" s="13">
        <v>2012</v>
      </c>
      <c r="C104" s="34">
        <f>C45/'Nominal GDP'!$C45</f>
        <v>2.504728313653325E-3</v>
      </c>
      <c r="D104" s="34">
        <f>D45/'Nominal GDP'!$C45</f>
        <v>0</v>
      </c>
      <c r="E104" s="34">
        <f>E45/'Nominal GDP'!$C45</f>
        <v>7.4351860887668278E-4</v>
      </c>
      <c r="F104" s="34">
        <f>F45/'Nominal GDP'!$C45</f>
        <v>5.7622692187942913E-4</v>
      </c>
      <c r="G104" s="34">
        <f>G45/'Nominal GDP'!$C45</f>
        <v>-9.4798622631777057E-4</v>
      </c>
      <c r="H104" s="60">
        <f>H45/'Nominal GDP'!$C45</f>
        <v>8.6912678386378742E-2</v>
      </c>
    </row>
    <row r="105" spans="1:8">
      <c r="A105" s="192"/>
      <c r="B105" s="13">
        <v>2013</v>
      </c>
      <c r="C105" s="34">
        <f>C46/'Nominal GDP'!$C46</f>
        <v>2.7146265905658743E-3</v>
      </c>
      <c r="D105" s="34">
        <f>D46/'Nominal GDP'!$C46</f>
        <v>0</v>
      </c>
      <c r="E105" s="34">
        <f>E46/'Nominal GDP'!$C46</f>
        <v>4.4848368714726959E-3</v>
      </c>
      <c r="F105" s="34">
        <f>F46/'Nominal GDP'!$C46</f>
        <v>6.3873566836844097E-4</v>
      </c>
      <c r="G105" s="34">
        <f>G46/'Nominal GDP'!$C46</f>
        <v>1.9955927238882579E-2</v>
      </c>
      <c r="H105" s="60">
        <f>H46/'Nominal GDP'!$C46</f>
        <v>0.10287750418599982</v>
      </c>
    </row>
    <row r="106" spans="1:8">
      <c r="A106" s="192"/>
      <c r="B106" s="16">
        <v>2014</v>
      </c>
      <c r="C106" s="163">
        <f>C47/'Nominal GDP'!$C47</f>
        <v>3.2345399952768126E-3</v>
      </c>
      <c r="D106" s="163">
        <f>D47/'Nominal GDP'!$C47</f>
        <v>0</v>
      </c>
      <c r="E106" s="163">
        <f>E47/'Nominal GDP'!$C47</f>
        <v>4.5291994197226813E-3</v>
      </c>
      <c r="F106" s="163">
        <f>F47/'Nominal GDP'!$C47</f>
        <v>6.9160959481798863E-4</v>
      </c>
      <c r="G106" s="163">
        <f>G47/'Nominal GDP'!$C47</f>
        <v>1.575098680881212E-2</v>
      </c>
      <c r="H106" s="164">
        <f>H47/'Nominal GDP'!$C47</f>
        <v>0.1088399514186431</v>
      </c>
    </row>
    <row r="107" spans="1:8">
      <c r="A107" s="192"/>
      <c r="B107" s="16">
        <v>2015</v>
      </c>
      <c r="C107" s="163">
        <f>C48/'Nominal GDP'!$C48</f>
        <v>3.0910266682392944E-3</v>
      </c>
      <c r="D107" s="163">
        <f>D48/'Nominal GDP'!$C48</f>
        <v>0</v>
      </c>
      <c r="E107" s="163">
        <f>E48/'Nominal GDP'!$C48</f>
        <v>1.8708845623553624E-4</v>
      </c>
      <c r="F107" s="163">
        <f>F48/'Nominal GDP'!$C48</f>
        <v>8.0529378988339513E-4</v>
      </c>
      <c r="G107" s="163">
        <f>G48/'Nominal GDP'!$C48</f>
        <v>1.2835894953898964E-2</v>
      </c>
      <c r="H107" s="164">
        <f>H48/'Nominal GDP'!$C48</f>
        <v>0.1200701174996848</v>
      </c>
    </row>
    <row r="108" spans="1:8">
      <c r="A108" s="192"/>
      <c r="B108" s="16">
        <v>2016</v>
      </c>
      <c r="C108" s="163">
        <f>C49/'Nominal GDP'!$C49</f>
        <v>2.9044729656136667E-3</v>
      </c>
      <c r="D108" s="163">
        <f>D49/'Nominal GDP'!$C49</f>
        <v>0</v>
      </c>
      <c r="E108" s="163">
        <f>E49/'Nominal GDP'!$C49</f>
        <v>1.9775135085029218E-3</v>
      </c>
      <c r="F108" s="163">
        <f>F49/'Nominal GDP'!$C49</f>
        <v>5.3300168783867812E-4</v>
      </c>
      <c r="G108" s="163">
        <f>G49/'Nominal GDP'!$C49</f>
        <v>-2.9353716141840248E-4</v>
      </c>
      <c r="H108" s="164">
        <f>H49/'Nominal GDP'!$C49</f>
        <v>0.11404304954212065</v>
      </c>
    </row>
    <row r="109" spans="1:8">
      <c r="A109" s="192"/>
      <c r="B109" s="16">
        <v>2017</v>
      </c>
      <c r="C109" s="163">
        <f>C50/'Nominal GDP'!$C50</f>
        <v>3.0206879045564156E-3</v>
      </c>
      <c r="D109" s="163">
        <f>D50/'Nominal GDP'!$C50</f>
        <v>0</v>
      </c>
      <c r="E109" s="163">
        <f>E50/'Nominal GDP'!$C50</f>
        <v>4.1303283592914256E-3</v>
      </c>
      <c r="F109" s="163">
        <f>F50/'Nominal GDP'!$C50</f>
        <v>8.2316465106159226E-4</v>
      </c>
      <c r="G109" s="163">
        <f>G50/'Nominal GDP'!$C50</f>
        <v>1.9988033289213641E-2</v>
      </c>
      <c r="H109" s="164">
        <f>H50/'Nominal GDP'!$C50</f>
        <v>0.12512827951335376</v>
      </c>
    </row>
    <row r="110" spans="1:8">
      <c r="A110" s="192"/>
      <c r="B110" s="16">
        <v>2018</v>
      </c>
      <c r="C110" s="163">
        <f>C51/'Nominal GDP'!$C51</f>
        <v>3.1631758962613627E-3</v>
      </c>
      <c r="D110" s="163">
        <f>D51/'Nominal GDP'!$C51</f>
        <v>1.6915379124392315E-3</v>
      </c>
      <c r="E110" s="163">
        <f>E51/'Nominal GDP'!$C51</f>
        <v>8.1532127379570956E-4</v>
      </c>
      <c r="F110" s="163">
        <f>F51/'Nominal GDP'!$C51</f>
        <v>1.1536288562835559E-3</v>
      </c>
      <c r="G110" s="163">
        <f>G51/'Nominal GDP'!$C51</f>
        <v>1.2057282239866842E-2</v>
      </c>
      <c r="H110" s="164">
        <f>H51/'Nominal GDP'!$C51</f>
        <v>0.13211926018897863</v>
      </c>
    </row>
    <row r="111" spans="1:8">
      <c r="A111" s="192"/>
      <c r="B111" s="16">
        <v>2019</v>
      </c>
      <c r="C111" s="169">
        <f>C52/'Nominal GDP'!$C52</f>
        <v>3.6510345672090046E-3</v>
      </c>
      <c r="D111" s="169">
        <f>D52/'Nominal GDP'!$C52</f>
        <v>3.2224488677925901E-3</v>
      </c>
      <c r="E111" s="169">
        <f>E52/'Nominal GDP'!$C52</f>
        <v>1.7401223886079988E-3</v>
      </c>
      <c r="F111" s="169">
        <f>F52/'Nominal GDP'!$C52</f>
        <v>8.2172446128711053E-4</v>
      </c>
      <c r="G111" s="169">
        <f>G52/'Nominal GDP'!$C52</f>
        <v>6.3997834514360847E-3</v>
      </c>
      <c r="H111" s="176">
        <f>H52/'Nominal GDP'!$C52</f>
        <v>0.13677684219345648</v>
      </c>
    </row>
    <row r="112" spans="1:8">
      <c r="A112" s="192"/>
      <c r="B112" s="16">
        <v>2020</v>
      </c>
      <c r="C112" s="178">
        <f>C53/'Nominal GDP'!$C53</f>
        <v>2.5280509765895553E-3</v>
      </c>
      <c r="D112" s="178">
        <f>D53/'Nominal GDP'!$C53</f>
        <v>4.5964563210719187E-3</v>
      </c>
      <c r="E112" s="178">
        <f>E53/'Nominal GDP'!$C53</f>
        <v>1.4104194738631642E-3</v>
      </c>
      <c r="F112" s="178">
        <f>F53/'Nominal GDP'!$C53</f>
        <v>4.7223866312382727E-4</v>
      </c>
      <c r="G112" s="178">
        <f>G53/'Nominal GDP'!$C53</f>
        <v>5.3520381820700426E-5</v>
      </c>
      <c r="H112" s="179">
        <f>H53/'Nominal GDP'!$C53</f>
        <v>0.13851389640972686</v>
      </c>
    </row>
    <row r="113" spans="1:8">
      <c r="A113" s="192"/>
      <c r="B113" s="16">
        <v>2021</v>
      </c>
      <c r="C113" s="178">
        <f>C54/'Nominal GDP'!$C54</f>
        <v>2.1614819259910918E-3</v>
      </c>
      <c r="D113" s="178">
        <f>D54/'Nominal GDP'!$C54</f>
        <v>6.1756626456888342E-3</v>
      </c>
      <c r="E113" s="178">
        <f>E54/'Nominal GDP'!$C54</f>
        <v>6.2805323887288331E-3</v>
      </c>
      <c r="F113" s="178">
        <f>F54/'Nominal GDP'!$C54</f>
        <v>3.6121800380444126E-4</v>
      </c>
      <c r="G113" s="178">
        <f>G54/'Nominal GDP'!$C54</f>
        <v>3.7246237069706332E-2</v>
      </c>
      <c r="H113" s="179">
        <f>H54/'Nominal GDP'!$C54</f>
        <v>0.16710702248582074</v>
      </c>
    </row>
    <row r="114" spans="1:8">
      <c r="A114" s="192"/>
      <c r="B114" s="16">
        <v>2022</v>
      </c>
      <c r="C114" s="178">
        <f>C55/'Nominal GDP'!$C55</f>
        <v>2.9446987220499697E-3</v>
      </c>
      <c r="D114" s="178">
        <f>D55/'Nominal GDP'!$C55</f>
        <v>6.6166860792580559E-3</v>
      </c>
      <c r="E114" s="178">
        <f>E55/'Nominal GDP'!$C55</f>
        <v>9.5695873047120652E-5</v>
      </c>
      <c r="F114" s="178">
        <f>F55/'Nominal GDP'!$C55</f>
        <v>-1.4108305854946929E-3</v>
      </c>
      <c r="G114" s="178">
        <f>G55/'Nominal GDP'!$C55</f>
        <v>-1.4034483324310579E-2</v>
      </c>
      <c r="H114" s="179">
        <f>H55/'Nominal GDP'!$C55</f>
        <v>0.15368757211367576</v>
      </c>
    </row>
    <row r="115" spans="1:8">
      <c r="A115" s="192"/>
      <c r="B115" s="16">
        <v>2023</v>
      </c>
      <c r="C115" s="178">
        <f>C56/'Nominal GDP'!$C56</f>
        <v>3.2865088810433173E-3</v>
      </c>
      <c r="D115" s="178">
        <f>D56/'Nominal GDP'!$C56</f>
        <v>6.368855846749095E-3</v>
      </c>
      <c r="E115" s="178">
        <f>E56/'Nominal GDP'!$C56</f>
        <v>3.1620199082765251E-4</v>
      </c>
      <c r="F115" s="178">
        <f>F56/'Nominal GDP'!$C56</f>
        <v>2.624227545923982E-3</v>
      </c>
      <c r="G115" s="178">
        <f>G56/'Nominal GDP'!$C56</f>
        <v>1.4356068339466489E-2</v>
      </c>
      <c r="H115" s="179">
        <f>H56/'Nominal GDP'!$C56</f>
        <v>0.1610215067149352</v>
      </c>
    </row>
    <row r="116" spans="1:8">
      <c r="A116" s="192"/>
      <c r="B116" s="16">
        <v>2024</v>
      </c>
      <c r="C116" s="178">
        <f>C57/'Nominal GDP'!$C57</f>
        <v>3.9487307651112141E-3</v>
      </c>
      <c r="D116" s="178">
        <f>D57/'Nominal GDP'!$C57</f>
        <v>3.8416223356778178E-3</v>
      </c>
      <c r="E116" s="178">
        <f>E57/'Nominal GDP'!$C57</f>
        <v>3.0704416437573635E-3</v>
      </c>
      <c r="F116" s="178">
        <f>F57/'Nominal GDP'!$C57</f>
        <v>4.498554036202649E-4</v>
      </c>
      <c r="G116" s="178">
        <f>G57/'Nominal GDP'!$C57</f>
        <v>1.9879324502838372E-2</v>
      </c>
      <c r="H116" s="179">
        <f>H57/'Nominal GDP'!$C57</f>
        <v>0.17808323515060634</v>
      </c>
    </row>
    <row r="117" spans="1:8">
      <c r="A117" s="193"/>
      <c r="B117" s="83">
        <v>2025</v>
      </c>
      <c r="C117" s="180">
        <f>C58/'Nominal GDP'!$C58</f>
        <v>4.0907767201784897E-3</v>
      </c>
      <c r="D117" s="180">
        <f>D58/'Nominal GDP'!$C58</f>
        <v>2.0155788884735947E-3</v>
      </c>
      <c r="E117" s="180">
        <f>E58/'Nominal GDP'!$C58</f>
        <v>4.0242786681128082E-3</v>
      </c>
      <c r="F117" s="180">
        <f>F58/'Nominal GDP'!$C58</f>
        <v>4.4255600167850253E-4</v>
      </c>
      <c r="G117" s="180">
        <f>G58/'Nominal GDP'!$C58</f>
        <v>1.6768974301942432E-2</v>
      </c>
      <c r="H117" s="177">
        <f>H58/'Nominal GDP'!$C58</f>
        <v>0.18997117653398393</v>
      </c>
    </row>
  </sheetData>
  <mergeCells count="10">
    <mergeCell ref="A97:A117"/>
    <mergeCell ref="A86:A96"/>
    <mergeCell ref="C3:H3"/>
    <mergeCell ref="C62:H62"/>
    <mergeCell ref="A5:A22"/>
    <mergeCell ref="A23:A26"/>
    <mergeCell ref="A64:A81"/>
    <mergeCell ref="A82:A85"/>
    <mergeCell ref="A27:A37"/>
    <mergeCell ref="A38:A58"/>
  </mergeCells>
  <phoneticPr fontId="23" type="noConversion"/>
  <hyperlinks>
    <hyperlink ref="C3:H3" location="'Series Descriptions'!A137" display="NZS Fund series" xr:uid="{00000000-0004-0000-0600-000000000000}"/>
    <hyperlink ref="C62:H62" location="'Series Descriptions'!A137" display="NZS Fund series" xr:uid="{00000000-0004-0000-0600-000001000000}"/>
  </hyperlinks>
  <pageMargins left="0.7" right="0.7" top="0.75" bottom="0.75" header="0.3" footer="0.3"/>
  <pageSetup paperSize="9" scale="99" orientation="portrait" horizontalDpi="300" verticalDpi="300" r:id="rId1"/>
  <rowBreaks count="1" manualBreakCount="1">
    <brk id="6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0"/>
  <sheetViews>
    <sheetView workbookViewId="0">
      <pane ySplit="4" topLeftCell="A32" activePane="bottomLeft" state="frozen"/>
      <selection activeCell="O131" sqref="O131"/>
      <selection pane="bottomLeft" activeCell="F75" sqref="F75"/>
    </sheetView>
  </sheetViews>
  <sheetFormatPr defaultRowHeight="12.75"/>
  <cols>
    <col min="1" max="1" width="7.28515625" customWidth="1"/>
    <col min="3" max="3" width="27" customWidth="1"/>
    <col min="4" max="4" width="22.7109375" customWidth="1"/>
    <col min="5" max="5" width="11.140625" bestFit="1" customWidth="1"/>
  </cols>
  <sheetData>
    <row r="1" spans="1:6" ht="15.75">
      <c r="A1" s="1" t="s">
        <v>124</v>
      </c>
      <c r="D1" s="160"/>
    </row>
    <row r="2" spans="1:6" ht="15.75">
      <c r="A2" s="1"/>
      <c r="D2" s="160"/>
    </row>
    <row r="3" spans="1:6" ht="13.5" customHeight="1">
      <c r="A3" s="57" t="s">
        <v>30</v>
      </c>
      <c r="B3" s="8"/>
      <c r="C3" s="71" t="s">
        <v>125</v>
      </c>
      <c r="D3" s="160"/>
      <c r="E3" s="73"/>
    </row>
    <row r="4" spans="1:6" ht="15" customHeight="1">
      <c r="A4" s="67"/>
      <c r="B4" s="9"/>
      <c r="C4" s="59"/>
      <c r="D4" s="160"/>
      <c r="E4" s="74"/>
    </row>
    <row r="5" spans="1:6">
      <c r="A5" s="191" t="s">
        <v>126</v>
      </c>
      <c r="B5" s="84">
        <v>1972</v>
      </c>
      <c r="C5" s="144">
        <v>6990</v>
      </c>
      <c r="D5" s="160"/>
    </row>
    <row r="6" spans="1:6">
      <c r="A6" s="192"/>
      <c r="B6" s="85">
        <v>1973</v>
      </c>
      <c r="C6" s="145">
        <v>8080</v>
      </c>
      <c r="D6" s="160"/>
    </row>
    <row r="7" spans="1:6">
      <c r="A7" s="192"/>
      <c r="B7" s="85">
        <v>1974</v>
      </c>
      <c r="C7" s="145">
        <v>9361</v>
      </c>
      <c r="D7" s="160"/>
    </row>
    <row r="8" spans="1:6">
      <c r="A8" s="192"/>
      <c r="B8" s="85">
        <v>1975</v>
      </c>
      <c r="C8" s="145">
        <v>10203</v>
      </c>
      <c r="D8" s="160"/>
    </row>
    <row r="9" spans="1:6">
      <c r="A9" s="192"/>
      <c r="B9" s="85">
        <v>1976</v>
      </c>
      <c r="C9" s="145">
        <v>11506</v>
      </c>
      <c r="D9" s="160"/>
    </row>
    <row r="10" spans="1:6">
      <c r="A10" s="192"/>
      <c r="B10" s="85">
        <v>1977</v>
      </c>
      <c r="C10" s="145">
        <v>13972</v>
      </c>
      <c r="D10" s="160"/>
    </row>
    <row r="11" spans="1:6">
      <c r="A11" s="192"/>
      <c r="B11" s="85">
        <v>1978</v>
      </c>
      <c r="C11" s="145">
        <v>15667</v>
      </c>
      <c r="D11" s="160"/>
    </row>
    <row r="12" spans="1:6">
      <c r="A12" s="192"/>
      <c r="B12" s="85">
        <v>1979</v>
      </c>
      <c r="C12" s="145">
        <v>17810</v>
      </c>
      <c r="D12" s="160"/>
    </row>
    <row r="13" spans="1:6">
      <c r="A13" s="192"/>
      <c r="B13" s="85">
        <v>1980</v>
      </c>
      <c r="C13" s="145">
        <v>20546</v>
      </c>
      <c r="D13" s="160"/>
    </row>
    <row r="14" spans="1:6">
      <c r="A14" s="192"/>
      <c r="B14" s="85">
        <v>1981</v>
      </c>
      <c r="C14" s="145">
        <v>23988</v>
      </c>
      <c r="D14" s="160"/>
    </row>
    <row r="15" spans="1:6">
      <c r="A15" s="192"/>
      <c r="B15" s="85">
        <v>1982</v>
      </c>
      <c r="C15" s="145">
        <v>29028</v>
      </c>
      <c r="D15" s="160"/>
      <c r="F15" s="81"/>
    </row>
    <row r="16" spans="1:6">
      <c r="A16" s="192"/>
      <c r="B16" s="85">
        <v>1983</v>
      </c>
      <c r="C16" s="145">
        <v>33426</v>
      </c>
      <c r="D16" s="160"/>
    </row>
    <row r="17" spans="1:5">
      <c r="A17" s="192"/>
      <c r="B17" s="85">
        <v>1984</v>
      </c>
      <c r="C17" s="145">
        <v>37253</v>
      </c>
      <c r="D17" s="160"/>
    </row>
    <row r="18" spans="1:5">
      <c r="A18" s="192"/>
      <c r="B18" s="85">
        <v>1985</v>
      </c>
      <c r="C18" s="145">
        <v>42244</v>
      </c>
      <c r="D18" s="160"/>
    </row>
    <row r="19" spans="1:5">
      <c r="A19" s="192"/>
      <c r="B19" s="85">
        <v>1986</v>
      </c>
      <c r="C19" s="145">
        <v>48779</v>
      </c>
      <c r="D19" s="160"/>
    </row>
    <row r="20" spans="1:5">
      <c r="A20" s="192"/>
      <c r="B20" s="85">
        <v>1987</v>
      </c>
      <c r="C20" s="145">
        <v>57953</v>
      </c>
      <c r="D20" s="160"/>
    </row>
    <row r="21" spans="1:5">
      <c r="A21" s="192"/>
      <c r="B21" s="85">
        <v>1988</v>
      </c>
      <c r="C21" s="145">
        <v>65167</v>
      </c>
      <c r="D21" s="160"/>
    </row>
    <row r="22" spans="1:5">
      <c r="A22" s="192"/>
      <c r="B22" s="85">
        <v>1989</v>
      </c>
      <c r="C22" s="145">
        <v>70629</v>
      </c>
      <c r="D22" s="160"/>
    </row>
    <row r="23" spans="1:5" ht="12.75" customHeight="1">
      <c r="A23" s="191" t="s">
        <v>127</v>
      </c>
      <c r="B23" s="84">
        <v>1990</v>
      </c>
      <c r="C23" s="146">
        <v>75140</v>
      </c>
      <c r="D23" s="160"/>
      <c r="E23" s="132"/>
    </row>
    <row r="24" spans="1:5">
      <c r="A24" s="192"/>
      <c r="B24" s="85">
        <v>1991</v>
      </c>
      <c r="C24" s="147">
        <v>75959</v>
      </c>
      <c r="D24" s="160"/>
      <c r="E24" s="132"/>
    </row>
    <row r="25" spans="1:5">
      <c r="A25" s="192"/>
      <c r="B25" s="85">
        <v>1992</v>
      </c>
      <c r="C25" s="147">
        <v>76924</v>
      </c>
      <c r="D25" s="160"/>
      <c r="E25" s="132"/>
    </row>
    <row r="26" spans="1:5">
      <c r="A26" s="192"/>
      <c r="B26" s="85">
        <v>1993</v>
      </c>
      <c r="C26" s="147">
        <v>79349</v>
      </c>
      <c r="D26" s="160"/>
      <c r="E26" s="132"/>
    </row>
    <row r="27" spans="1:5">
      <c r="A27" s="192"/>
      <c r="B27" s="85">
        <v>1994</v>
      </c>
      <c r="C27" s="147">
        <v>86031</v>
      </c>
      <c r="D27" s="160"/>
      <c r="E27" s="132"/>
    </row>
    <row r="28" spans="1:5">
      <c r="A28" s="192"/>
      <c r="B28" s="85">
        <v>1995</v>
      </c>
      <c r="C28" s="147">
        <v>91897</v>
      </c>
      <c r="D28" s="160"/>
      <c r="E28" s="132"/>
    </row>
    <row r="29" spans="1:5">
      <c r="A29" s="192"/>
      <c r="B29" s="85">
        <v>1996</v>
      </c>
      <c r="C29" s="147">
        <v>97568</v>
      </c>
      <c r="D29" s="160"/>
      <c r="E29" s="132"/>
    </row>
    <row r="30" spans="1:5">
      <c r="A30" s="192"/>
      <c r="B30" s="85">
        <v>1997</v>
      </c>
      <c r="C30" s="147">
        <v>102105</v>
      </c>
      <c r="D30" s="160"/>
      <c r="E30" s="132"/>
    </row>
    <row r="31" spans="1:5">
      <c r="A31" s="192"/>
      <c r="B31" s="85">
        <v>1998</v>
      </c>
      <c r="C31" s="147">
        <v>104918</v>
      </c>
      <c r="D31" s="160"/>
      <c r="E31" s="132"/>
    </row>
    <row r="32" spans="1:5">
      <c r="A32" s="192"/>
      <c r="B32" s="85">
        <v>1999</v>
      </c>
      <c r="C32" s="147">
        <v>108196</v>
      </c>
      <c r="D32" s="160"/>
      <c r="E32" s="132"/>
    </row>
    <row r="33" spans="1:5">
      <c r="A33" s="192"/>
      <c r="B33" s="85">
        <v>2000</v>
      </c>
      <c r="C33" s="147">
        <v>114664</v>
      </c>
      <c r="D33" s="160"/>
      <c r="E33" s="132"/>
    </row>
    <row r="34" spans="1:5">
      <c r="A34" s="192"/>
      <c r="B34" s="85">
        <v>2001</v>
      </c>
      <c r="C34" s="147">
        <v>122209</v>
      </c>
      <c r="D34" s="160"/>
      <c r="E34" s="132"/>
    </row>
    <row r="35" spans="1:5">
      <c r="A35" s="192"/>
      <c r="B35" s="85">
        <v>2002</v>
      </c>
      <c r="C35" s="147">
        <v>129943</v>
      </c>
      <c r="D35" s="160"/>
      <c r="E35" s="132"/>
    </row>
    <row r="36" spans="1:5">
      <c r="A36" s="192"/>
      <c r="B36" s="85">
        <v>2003</v>
      </c>
      <c r="C36" s="147">
        <v>137176</v>
      </c>
      <c r="D36" s="160"/>
      <c r="E36" s="132"/>
    </row>
    <row r="37" spans="1:5">
      <c r="A37" s="192"/>
      <c r="B37" s="85">
        <v>2004</v>
      </c>
      <c r="C37" s="147">
        <v>147565</v>
      </c>
      <c r="D37" s="160"/>
      <c r="E37" s="132"/>
    </row>
    <row r="38" spans="1:5">
      <c r="A38" s="192"/>
      <c r="B38" s="13">
        <v>2005</v>
      </c>
      <c r="C38" s="147">
        <v>156803</v>
      </c>
      <c r="D38" s="160"/>
      <c r="E38" s="132"/>
    </row>
    <row r="39" spans="1:5">
      <c r="A39" s="192"/>
      <c r="B39" s="13">
        <v>2006</v>
      </c>
      <c r="C39" s="147">
        <v>164463</v>
      </c>
      <c r="D39" s="160"/>
      <c r="E39" s="132"/>
    </row>
    <row r="40" spans="1:5">
      <c r="A40" s="192"/>
      <c r="B40" s="13">
        <v>2007</v>
      </c>
      <c r="C40" s="147">
        <v>175417</v>
      </c>
      <c r="D40" s="160"/>
      <c r="E40" s="132"/>
    </row>
    <row r="41" spans="1:5">
      <c r="A41" s="192"/>
      <c r="B41" s="13">
        <v>2008</v>
      </c>
      <c r="C41" s="147">
        <v>188928</v>
      </c>
      <c r="D41" s="160"/>
      <c r="E41" s="132"/>
    </row>
    <row r="42" spans="1:5">
      <c r="A42" s="192"/>
      <c r="B42" s="13">
        <v>2009</v>
      </c>
      <c r="C42" s="147">
        <v>189877</v>
      </c>
      <c r="D42" s="160"/>
      <c r="E42" s="132"/>
    </row>
    <row r="43" spans="1:5">
      <c r="A43" s="192"/>
      <c r="B43" s="16">
        <v>2010</v>
      </c>
      <c r="C43" s="147">
        <v>197354</v>
      </c>
      <c r="D43" s="160"/>
      <c r="E43" s="132"/>
    </row>
    <row r="44" spans="1:5">
      <c r="A44" s="192"/>
      <c r="B44" s="16">
        <v>2011</v>
      </c>
      <c r="C44" s="147">
        <v>206117</v>
      </c>
      <c r="D44" s="160"/>
      <c r="E44" s="132"/>
    </row>
    <row r="45" spans="1:5">
      <c r="A45" s="192"/>
      <c r="B45" s="13">
        <v>2012</v>
      </c>
      <c r="C45" s="147">
        <v>215193</v>
      </c>
      <c r="D45" s="160"/>
      <c r="E45" s="132"/>
    </row>
    <row r="46" spans="1:5">
      <c r="A46" s="192"/>
      <c r="B46" s="16">
        <v>2013</v>
      </c>
      <c r="C46" s="147">
        <v>219183</v>
      </c>
      <c r="D46" s="160"/>
      <c r="E46" s="132"/>
    </row>
    <row r="47" spans="1:5">
      <c r="A47" s="192"/>
      <c r="B47" s="16">
        <v>2014</v>
      </c>
      <c r="C47" s="147">
        <v>237128</v>
      </c>
      <c r="D47" s="160"/>
      <c r="E47" s="132"/>
    </row>
    <row r="48" spans="1:5">
      <c r="A48" s="192"/>
      <c r="B48" s="16">
        <v>2015</v>
      </c>
      <c r="C48" s="147">
        <v>245873</v>
      </c>
      <c r="D48" s="160"/>
      <c r="E48" s="142"/>
    </row>
    <row r="49" spans="1:5">
      <c r="A49" s="192"/>
      <c r="B49" s="16">
        <v>2016</v>
      </c>
      <c r="C49" s="147">
        <v>258911</v>
      </c>
      <c r="D49" s="160"/>
      <c r="E49" s="142"/>
    </row>
    <row r="50" spans="1:5">
      <c r="A50" s="192"/>
      <c r="B50" s="16">
        <v>2017</v>
      </c>
      <c r="C50" s="147">
        <v>275765</v>
      </c>
      <c r="D50" s="160"/>
      <c r="E50" s="142"/>
    </row>
    <row r="51" spans="1:5">
      <c r="A51" s="192"/>
      <c r="B51" s="16">
        <v>2018</v>
      </c>
      <c r="C51" s="147">
        <v>295589</v>
      </c>
      <c r="D51" s="160"/>
      <c r="E51" s="142"/>
    </row>
    <row r="52" spans="1:5">
      <c r="A52" s="192"/>
      <c r="B52" s="16">
        <v>2019</v>
      </c>
      <c r="C52" s="147">
        <v>310323</v>
      </c>
      <c r="D52" s="160"/>
      <c r="E52" s="142"/>
    </row>
    <row r="53" spans="1:5">
      <c r="A53" s="192"/>
      <c r="B53" s="16">
        <v>2020</v>
      </c>
      <c r="C53" s="147">
        <v>317636</v>
      </c>
      <c r="D53" s="160"/>
      <c r="E53" s="142"/>
    </row>
    <row r="54" spans="1:5">
      <c r="A54" s="192"/>
      <c r="B54" s="16">
        <v>2021</v>
      </c>
      <c r="C54" s="147">
        <v>343283</v>
      </c>
      <c r="D54" s="160"/>
      <c r="E54" s="142"/>
    </row>
    <row r="55" spans="1:5">
      <c r="A55" s="192"/>
      <c r="B55" s="16">
        <v>2022</v>
      </c>
      <c r="C55" s="147">
        <v>365742</v>
      </c>
      <c r="D55" s="160"/>
      <c r="E55" s="142"/>
    </row>
    <row r="56" spans="1:5">
      <c r="A56" s="192"/>
      <c r="B56" s="16">
        <v>2023</v>
      </c>
      <c r="C56" s="147">
        <v>401642</v>
      </c>
      <c r="D56" s="160"/>
      <c r="E56" s="142"/>
    </row>
    <row r="57" spans="1:5">
      <c r="A57" s="192"/>
      <c r="B57" s="16">
        <v>2024</v>
      </c>
      <c r="C57" s="147">
        <v>420135</v>
      </c>
      <c r="D57" s="160"/>
      <c r="E57" s="142"/>
    </row>
    <row r="58" spans="1:5">
      <c r="A58" s="193"/>
      <c r="B58" s="83">
        <v>2025</v>
      </c>
      <c r="C58" s="157">
        <v>436103</v>
      </c>
      <c r="D58" s="160"/>
      <c r="E58" s="142"/>
    </row>
    <row r="59" spans="1:5">
      <c r="D59" s="26"/>
      <c r="E59" s="74"/>
    </row>
    <row r="60" spans="1:5">
      <c r="E60" s="74"/>
    </row>
    <row r="61" spans="1:5">
      <c r="E61" s="74"/>
    </row>
    <row r="62" spans="1:5">
      <c r="E62" s="74"/>
    </row>
    <row r="63" spans="1:5">
      <c r="E63" s="74"/>
    </row>
    <row r="64" spans="1:5">
      <c r="E64" s="74"/>
    </row>
    <row r="65" spans="5:5">
      <c r="E65" s="74"/>
    </row>
    <row r="66" spans="5:5">
      <c r="E66" s="74"/>
    </row>
    <row r="67" spans="5:5">
      <c r="E67" s="74"/>
    </row>
    <row r="68" spans="5:5">
      <c r="E68" s="74"/>
    </row>
    <row r="69" spans="5:5">
      <c r="E69" s="74"/>
    </row>
    <row r="70" spans="5:5">
      <c r="E70" s="74"/>
    </row>
    <row r="71" spans="5:5">
      <c r="E71" s="74"/>
    </row>
    <row r="72" spans="5:5">
      <c r="E72" s="74"/>
    </row>
    <row r="73" spans="5:5">
      <c r="E73" s="74"/>
    </row>
    <row r="74" spans="5:5">
      <c r="E74" s="74"/>
    </row>
    <row r="75" spans="5:5">
      <c r="E75" s="74"/>
    </row>
    <row r="76" spans="5:5">
      <c r="E76" s="74"/>
    </row>
    <row r="77" spans="5:5">
      <c r="E77" s="74"/>
    </row>
    <row r="78" spans="5:5">
      <c r="E78" s="74"/>
    </row>
    <row r="79" spans="5:5">
      <c r="E79" s="74"/>
    </row>
    <row r="80" spans="5:5">
      <c r="E80" s="74"/>
    </row>
    <row r="81" spans="5:5">
      <c r="E81" s="74"/>
    </row>
    <row r="82" spans="5:5">
      <c r="E82" s="74"/>
    </row>
    <row r="83" spans="5:5">
      <c r="E83" s="74"/>
    </row>
    <row r="84" spans="5:5">
      <c r="E84" s="74"/>
    </row>
    <row r="85" spans="5:5">
      <c r="E85" s="74"/>
    </row>
    <row r="86" spans="5:5">
      <c r="E86" s="74"/>
    </row>
    <row r="87" spans="5:5">
      <c r="E87" s="74"/>
    </row>
    <row r="88" spans="5:5">
      <c r="E88" s="74"/>
    </row>
    <row r="89" spans="5:5">
      <c r="E89" s="74"/>
    </row>
    <row r="90" spans="5:5">
      <c r="E90" s="74"/>
    </row>
  </sheetData>
  <mergeCells count="2">
    <mergeCell ref="A5:A22"/>
    <mergeCell ref="A23:A58"/>
  </mergeCells>
  <phoneticPr fontId="23"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8D9129E54817C43A3C8862AEA072303" ma:contentTypeVersion="6" ma:contentTypeDescription="Create a new document." ma:contentTypeScope="" ma:versionID="350cea920db80dc74f8c6622baf66206">
  <xsd:schema xmlns:xsd="http://www.w3.org/2001/XMLSchema" xmlns:xs="http://www.w3.org/2001/XMLSchema" xmlns:p="http://schemas.microsoft.com/office/2006/metadata/properties" xmlns:ns2="3905b1ae-ec18-4e88-8b44-68fad0fefbb5" xmlns:ns3="224aad7a-1ab5-48b2-bb08-313a26c48247" targetNamespace="http://schemas.microsoft.com/office/2006/metadata/properties" ma:root="true" ma:fieldsID="ddc752f4c434a56be7aa90bf4a8cbfc6" ns2:_="" ns3:_="">
    <xsd:import namespace="3905b1ae-ec18-4e88-8b44-68fad0fefbb5"/>
    <xsd:import namespace="224aad7a-1ab5-48b2-bb08-313a26c4824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05b1ae-ec18-4e88-8b44-68fad0fef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4aad7a-1ab5-48b2-bb08-313a26c4824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C7A229-0B11-4EAD-A814-1FA6DCD90806}">
  <ds:schemaRefs>
    <ds:schemaRef ds:uri="http://www.w3.org/XML/1998/namespace"/>
    <ds:schemaRef ds:uri="http://schemas.openxmlformats.org/package/2006/metadata/core-properties"/>
    <ds:schemaRef ds:uri="3905b1ae-ec18-4e88-8b44-68fad0fefbb5"/>
    <ds:schemaRef ds:uri="http://schemas.microsoft.com/office/2006/documentManagement/types"/>
    <ds:schemaRef ds:uri="http://purl.org/dc/terms/"/>
    <ds:schemaRef ds:uri="http://purl.org/dc/dcmitype/"/>
    <ds:schemaRef ds:uri="http://schemas.microsoft.com/office/2006/metadata/properties"/>
    <ds:schemaRef ds:uri="http://schemas.microsoft.com/office/infopath/2007/PartnerControls"/>
    <ds:schemaRef ds:uri="224aad7a-1ab5-48b2-bb08-313a26c48247"/>
    <ds:schemaRef ds:uri="http://purl.org/dc/elements/1.1/"/>
  </ds:schemaRefs>
</ds:datastoreItem>
</file>

<file path=customXml/itemProps2.xml><?xml version="1.0" encoding="utf-8"?>
<ds:datastoreItem xmlns:ds="http://schemas.openxmlformats.org/officeDocument/2006/customXml" ds:itemID="{669B4B5C-5010-4BF5-8D31-27B7E1D3622A}">
  <ds:schemaRefs>
    <ds:schemaRef ds:uri="http://schemas.microsoft.com/sharepoint/v3/contenttype/forms"/>
  </ds:schemaRefs>
</ds:datastoreItem>
</file>

<file path=customXml/itemProps3.xml><?xml version="1.0" encoding="utf-8"?>
<ds:datastoreItem xmlns:ds="http://schemas.openxmlformats.org/officeDocument/2006/customXml" ds:itemID="{96746B78-C983-42EE-B70C-29AB395CEC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05b1ae-ec18-4e88-8b44-68fad0fefbb5"/>
    <ds:schemaRef ds:uri="224aad7a-1ab5-48b2-bb08-313a26c48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Summary</vt:lpstr>
      <vt:lpstr>Series Descriptions</vt:lpstr>
      <vt:lpstr>Sources</vt:lpstr>
      <vt:lpstr>Spending</vt:lpstr>
      <vt:lpstr>Revenue, Surplus measures</vt:lpstr>
      <vt:lpstr>Debt, Net Worth</vt:lpstr>
      <vt:lpstr>NZS Fund series</vt:lpstr>
      <vt:lpstr>Nominal GDP</vt:lpstr>
      <vt:lpstr>'Series Descriptions'!Print_Area</vt:lpstr>
      <vt:lpstr>Spending!Print_Area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Fiscal Time Series Historical Indicators 1972 - 2025 - Update for Year End 30 June 2025</dc:title>
  <dc:subject/>
  <dc:creator/>
  <cp:keywords/>
  <dc:description/>
  <cp:lastModifiedBy/>
  <cp:revision/>
  <dcterms:created xsi:type="dcterms:W3CDTF">2025-10-02T03:24:53Z</dcterms:created>
  <dcterms:modified xsi:type="dcterms:W3CDTF">2026-01-08T01:51:07Z</dcterms:modified>
  <cp:category/>
  <cp:contentStatus/>
</cp:coreProperties>
</file>