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42DA6B42-E7E1-40F3-BD55-82DA3C6B6AF0}" xr6:coauthVersionLast="47" xr6:coauthVersionMax="47" xr10:uidLastSave="{00000000-0000-0000-0000-000000000000}"/>
  <bookViews>
    <workbookView xWindow="28680" yWindow="-120" windowWidth="29040" windowHeight="15225" tabRatio="757" xr2:uid="{3F23EF16-44CE-43B2-AAD5-95014BC73F35}"/>
  </bookViews>
  <sheets>
    <sheet name="Index" sheetId="10" r:id="rId1"/>
    <sheet name="Core Crown Expense Tables" sheetId="9" r:id="rId2"/>
  </sheets>
  <definedNames>
    <definedName name="_xlnm.Print_Area" localSheetId="1">'Core Crown Expense Tables'!$C$4:$P$388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3" i="9" l="1"/>
  <c r="G167" i="9" l="1"/>
  <c r="H167" i="9"/>
  <c r="I167" i="9"/>
  <c r="J167" i="9"/>
  <c r="K167" i="9"/>
  <c r="L167" i="9"/>
  <c r="M167" i="9"/>
  <c r="N167" i="9"/>
  <c r="O167" i="9"/>
  <c r="F167" i="9"/>
  <c r="N386" i="9" l="1"/>
  <c r="N373" i="9"/>
  <c r="N355" i="9"/>
  <c r="N335" i="9"/>
  <c r="N321" i="9"/>
  <c r="N307" i="9"/>
  <c r="N291" i="9"/>
  <c r="N269" i="9"/>
  <c r="N243" i="9"/>
  <c r="N248" i="9" s="1"/>
  <c r="N226" i="9"/>
  <c r="N193" i="9"/>
  <c r="N136" i="9"/>
  <c r="N114" i="9"/>
  <c r="N79" i="9"/>
  <c r="N45" i="9"/>
  <c r="N35" i="9"/>
  <c r="N173" i="9" s="1"/>
  <c r="N26" i="9"/>
  <c r="N199" i="9" l="1"/>
  <c r="N212" i="9"/>
  <c r="N234" i="9"/>
  <c r="N255" i="9"/>
  <c r="N278" i="9"/>
  <c r="N53" i="9"/>
  <c r="N301" i="9"/>
  <c r="N88" i="9"/>
  <c r="N102" i="9"/>
  <c r="N328" i="9"/>
  <c r="N141" i="9"/>
  <c r="N363" i="9"/>
  <c r="N185" i="9"/>
  <c r="N380" i="9"/>
  <c r="N312" i="9"/>
  <c r="N126" i="9"/>
  <c r="N342" i="9"/>
  <c r="N153" i="9"/>
  <c r="O45" i="9" l="1"/>
  <c r="F243" i="9" l="1"/>
  <c r="G243" i="9"/>
  <c r="H243" i="9"/>
  <c r="I243" i="9"/>
  <c r="J243" i="9"/>
  <c r="L243" i="9"/>
  <c r="M243" i="9"/>
  <c r="O243" i="9"/>
  <c r="F79" i="9" l="1"/>
  <c r="G79" i="9"/>
  <c r="H79" i="9"/>
  <c r="I79" i="9"/>
  <c r="J79" i="9"/>
  <c r="K79" i="9"/>
  <c r="L79" i="9"/>
  <c r="M79" i="9"/>
  <c r="O79" i="9"/>
  <c r="F45" i="9"/>
  <c r="G45" i="9"/>
  <c r="H45" i="9"/>
  <c r="I45" i="9"/>
  <c r="J45" i="9"/>
  <c r="K45" i="9"/>
  <c r="L45" i="9"/>
  <c r="M45" i="9"/>
  <c r="F373" i="9"/>
  <c r="G373" i="9"/>
  <c r="H373" i="9"/>
  <c r="I373" i="9"/>
  <c r="J373" i="9"/>
  <c r="K373" i="9"/>
  <c r="L373" i="9"/>
  <c r="M373" i="9"/>
  <c r="O373" i="9"/>
  <c r="F386" i="9"/>
  <c r="G386" i="9"/>
  <c r="H386" i="9"/>
  <c r="I386" i="9"/>
  <c r="J386" i="9"/>
  <c r="K386" i="9"/>
  <c r="L386" i="9"/>
  <c r="M386" i="9"/>
  <c r="O386" i="9"/>
  <c r="F114" i="9"/>
  <c r="G114" i="9"/>
  <c r="H114" i="9"/>
  <c r="I114" i="9"/>
  <c r="J114" i="9"/>
  <c r="K114" i="9"/>
  <c r="L114" i="9"/>
  <c r="M114" i="9"/>
  <c r="O114" i="9"/>
  <c r="G35" i="9" l="1"/>
  <c r="H35" i="9"/>
  <c r="I35" i="9"/>
  <c r="I141" i="9" s="1"/>
  <c r="J35" i="9"/>
  <c r="K35" i="9"/>
  <c r="L35" i="9"/>
  <c r="M35" i="9"/>
  <c r="O35" i="9"/>
  <c r="F35" i="9"/>
  <c r="I212" i="9" l="1"/>
  <c r="I199" i="9"/>
  <c r="I136" i="9"/>
  <c r="J136" i="9" l="1"/>
  <c r="F328" i="9"/>
  <c r="H328" i="9"/>
  <c r="F335" i="9"/>
  <c r="G335" i="9"/>
  <c r="H335" i="9"/>
  <c r="I335" i="9"/>
  <c r="J335" i="9"/>
  <c r="K335" i="9"/>
  <c r="L335" i="9"/>
  <c r="M335" i="9"/>
  <c r="O335" i="9"/>
  <c r="G328" i="9"/>
  <c r="I328" i="9"/>
  <c r="J328" i="9"/>
  <c r="K328" i="9"/>
  <c r="L328" i="9"/>
  <c r="M328" i="9"/>
  <c r="H26" i="9"/>
  <c r="H226" i="9"/>
  <c r="H291" i="9"/>
  <c r="J26" i="9"/>
  <c r="K136" i="9"/>
  <c r="L136" i="9"/>
  <c r="M136" i="9"/>
  <c r="O136" i="9"/>
  <c r="I269" i="9"/>
  <c r="F355" i="9"/>
  <c r="G355" i="9"/>
  <c r="H355" i="9"/>
  <c r="I355" i="9"/>
  <c r="J355" i="9"/>
  <c r="K355" i="9"/>
  <c r="L355" i="9"/>
  <c r="M355" i="9"/>
  <c r="O355" i="9"/>
  <c r="F321" i="9"/>
  <c r="G321" i="9"/>
  <c r="H321" i="9"/>
  <c r="I321" i="9"/>
  <c r="J321" i="9"/>
  <c r="K321" i="9"/>
  <c r="L321" i="9"/>
  <c r="M321" i="9"/>
  <c r="O321" i="9"/>
  <c r="F307" i="9"/>
  <c r="G307" i="9"/>
  <c r="H307" i="9"/>
  <c r="I307" i="9"/>
  <c r="J307" i="9"/>
  <c r="K307" i="9"/>
  <c r="L307" i="9"/>
  <c r="M307" i="9"/>
  <c r="O307" i="9"/>
  <c r="O291" i="9"/>
  <c r="M291" i="9"/>
  <c r="L291" i="9"/>
  <c r="K291" i="9"/>
  <c r="J291" i="9"/>
  <c r="G291" i="9"/>
  <c r="F291" i="9"/>
  <c r="I291" i="9"/>
  <c r="F269" i="9"/>
  <c r="G269" i="9"/>
  <c r="H269" i="9"/>
  <c r="F193" i="9"/>
  <c r="G193" i="9"/>
  <c r="H193" i="9"/>
  <c r="F136" i="9"/>
  <c r="G136" i="9"/>
  <c r="H136" i="9"/>
  <c r="F26" i="9"/>
  <c r="G26" i="9"/>
  <c r="I26" i="9"/>
  <c r="J269" i="9"/>
  <c r="K269" i="9"/>
  <c r="L269" i="9"/>
  <c r="M269" i="9"/>
  <c r="O269" i="9"/>
  <c r="J226" i="9"/>
  <c r="K226" i="9"/>
  <c r="L226" i="9"/>
  <c r="M226" i="9"/>
  <c r="O226" i="9"/>
  <c r="K26" i="9"/>
  <c r="L26" i="9"/>
  <c r="M26" i="9"/>
  <c r="O26" i="9"/>
  <c r="I226" i="9"/>
  <c r="G226" i="9"/>
  <c r="F226" i="9"/>
  <c r="I193" i="9"/>
  <c r="J193" i="9"/>
  <c r="K193" i="9"/>
  <c r="L193" i="9"/>
  <c r="M193" i="9"/>
  <c r="O193" i="9"/>
  <c r="H380" i="9"/>
  <c r="H363" i="9"/>
  <c r="H342" i="9"/>
  <c r="H312" i="9"/>
  <c r="H301" i="9"/>
  <c r="H278" i="9"/>
  <c r="H255" i="9"/>
  <c r="H234" i="9"/>
  <c r="H212" i="9"/>
  <c r="H199" i="9"/>
  <c r="H185" i="9"/>
  <c r="H173" i="9"/>
  <c r="H153" i="9"/>
  <c r="H141" i="9"/>
  <c r="H126" i="9"/>
  <c r="H102" i="9"/>
  <c r="H88" i="9"/>
  <c r="H53" i="9"/>
  <c r="J36" i="9"/>
  <c r="J54" i="9" s="1"/>
  <c r="J364" i="9" s="1"/>
  <c r="F153" i="9"/>
  <c r="I363" i="9"/>
  <c r="J312" i="9"/>
  <c r="J234" i="9"/>
  <c r="J173" i="9"/>
  <c r="I255" i="9"/>
  <c r="I278" i="9"/>
  <c r="F278" i="9"/>
  <c r="F88" i="9"/>
  <c r="F212" i="9"/>
  <c r="F53" i="9"/>
  <c r="F141" i="9"/>
  <c r="F312" i="9"/>
  <c r="F255" i="9"/>
  <c r="F126" i="9"/>
  <c r="F199" i="9"/>
  <c r="F380" i="9"/>
  <c r="F173" i="9"/>
  <c r="F185" i="9"/>
  <c r="F301" i="9"/>
  <c r="F342" i="9"/>
  <c r="F234" i="9"/>
  <c r="F363" i="9"/>
  <c r="F102" i="9"/>
  <c r="J248" i="9" l="1"/>
  <c r="G248" i="9"/>
  <c r="I248" i="9"/>
  <c r="H248" i="9"/>
  <c r="O248" i="9"/>
  <c r="M248" i="9"/>
  <c r="K53" i="9"/>
  <c r="J329" i="9"/>
  <c r="J186" i="9"/>
  <c r="J313" i="9"/>
  <c r="J174" i="9"/>
  <c r="J302" i="9"/>
  <c r="J154" i="9"/>
  <c r="J343" i="9"/>
  <c r="J279" i="9"/>
  <c r="J142" i="9"/>
  <c r="J256" i="9"/>
  <c r="J127" i="9"/>
  <c r="J381" i="9"/>
  <c r="J235" i="9"/>
  <c r="J89" i="9"/>
  <c r="J103" i="9" s="1"/>
  <c r="J200" i="9"/>
  <c r="J213" i="9"/>
  <c r="O342" i="9"/>
  <c r="O53" i="9"/>
  <c r="G141" i="9"/>
  <c r="G278" i="9"/>
  <c r="O328" i="9"/>
  <c r="O380" i="9"/>
  <c r="I301" i="9"/>
  <c r="I342" i="9"/>
  <c r="I185" i="9"/>
  <c r="I173" i="9"/>
  <c r="I102" i="9"/>
  <c r="I88" i="9"/>
  <c r="I234" i="9"/>
  <c r="I53" i="9"/>
  <c r="I380" i="9"/>
  <c r="I126" i="9"/>
  <c r="I312" i="9"/>
  <c r="I153" i="9"/>
  <c r="O278" i="9"/>
  <c r="O141" i="9"/>
  <c r="O185" i="9"/>
  <c r="O199" i="9"/>
  <c r="O173" i="9"/>
  <c r="O363" i="9"/>
  <c r="O312" i="9"/>
  <c r="O88" i="9"/>
  <c r="O126" i="9"/>
  <c r="O234" i="9"/>
  <c r="G199" i="9"/>
  <c r="O102" i="9"/>
  <c r="O212" i="9"/>
  <c r="O255" i="9"/>
  <c r="O153" i="9"/>
  <c r="O301" i="9"/>
  <c r="K278" i="9"/>
  <c r="K342" i="9"/>
  <c r="K88" i="9"/>
  <c r="M102" i="9"/>
  <c r="K255" i="9"/>
  <c r="K199" i="9"/>
  <c r="K126" i="9"/>
  <c r="M212" i="9"/>
  <c r="M185" i="9"/>
  <c r="K185" i="9"/>
  <c r="K153" i="9"/>
  <c r="K234" i="9"/>
  <c r="M255" i="9"/>
  <c r="M363" i="9"/>
  <c r="M88" i="9"/>
  <c r="M173" i="9"/>
  <c r="K141" i="9"/>
  <c r="K173" i="9"/>
  <c r="K380" i="9"/>
  <c r="M234" i="9"/>
  <c r="M53" i="9"/>
  <c r="M278" i="9"/>
  <c r="M312" i="9"/>
  <c r="M141" i="9"/>
  <c r="K363" i="9"/>
  <c r="L173" i="9"/>
  <c r="M380" i="9"/>
  <c r="M342" i="9"/>
  <c r="M199" i="9"/>
  <c r="K212" i="9"/>
  <c r="K312" i="9"/>
  <c r="M126" i="9"/>
  <c r="L278" i="9"/>
  <c r="M301" i="9"/>
  <c r="M153" i="9"/>
  <c r="K301" i="9"/>
  <c r="K102" i="9"/>
  <c r="G53" i="9"/>
  <c r="G363" i="9"/>
  <c r="G88" i="9"/>
  <c r="G153" i="9"/>
  <c r="G212" i="9"/>
  <c r="G301" i="9"/>
  <c r="G380" i="9"/>
  <c r="G102" i="9"/>
  <c r="G173" i="9"/>
  <c r="G234" i="9"/>
  <c r="G312" i="9"/>
  <c r="G126" i="9"/>
  <c r="G185" i="9"/>
  <c r="G255" i="9"/>
  <c r="G342" i="9"/>
  <c r="L380" i="9"/>
  <c r="L185" i="9"/>
  <c r="L199" i="9"/>
  <c r="L234" i="9"/>
  <c r="L126" i="9"/>
  <c r="L153" i="9"/>
  <c r="L312" i="9"/>
  <c r="L141" i="9"/>
  <c r="L363" i="9"/>
  <c r="L301" i="9"/>
  <c r="L342" i="9"/>
  <c r="L255" i="9"/>
  <c r="L102" i="9"/>
  <c r="L212" i="9"/>
  <c r="L53" i="9"/>
  <c r="L88" i="9"/>
  <c r="J185" i="9"/>
  <c r="J88" i="9"/>
  <c r="J342" i="9"/>
  <c r="J212" i="9"/>
  <c r="J102" i="9"/>
  <c r="J153" i="9"/>
  <c r="J53" i="9"/>
  <c r="J199" i="9"/>
  <c r="F248" i="9"/>
  <c r="J363" i="9"/>
  <c r="J255" i="9"/>
  <c r="J141" i="9"/>
  <c r="J126" i="9"/>
  <c r="J380" i="9"/>
  <c r="K248" i="9"/>
  <c r="J278" i="9"/>
  <c r="J301" i="9"/>
  <c r="L248" i="9"/>
</calcChain>
</file>

<file path=xl/sharedStrings.xml><?xml version="1.0" encoding="utf-8"?>
<sst xmlns="http://schemas.openxmlformats.org/spreadsheetml/2006/main" count="497" uniqueCount="235">
  <si>
    <t>Actual</t>
  </si>
  <si>
    <t>Forecast</t>
  </si>
  <si>
    <t>Departmental expenses</t>
  </si>
  <si>
    <t>Other non-departmental expenses</t>
  </si>
  <si>
    <t>New Zealand Superannuation</t>
  </si>
  <si>
    <t>Accommodation Supplement</t>
  </si>
  <si>
    <t>(Thousands)</t>
  </si>
  <si>
    <t>Departmental outputs</t>
  </si>
  <si>
    <t>Other expenses</t>
  </si>
  <si>
    <t>Early childhood education</t>
  </si>
  <si>
    <t xml:space="preserve">Primary </t>
  </si>
  <si>
    <t xml:space="preserve">Secondary </t>
  </si>
  <si>
    <t>School transport</t>
  </si>
  <si>
    <t>Other tertiary funding</t>
  </si>
  <si>
    <t>Science expenses</t>
  </si>
  <si>
    <t>Police</t>
  </si>
  <si>
    <t>Ministry of Justice</t>
  </si>
  <si>
    <t>Department of Corrections</t>
  </si>
  <si>
    <t>Non-departmental outputs</t>
  </si>
  <si>
    <t>Defence</t>
  </si>
  <si>
    <t>Social security and welfare</t>
  </si>
  <si>
    <t>Health</t>
  </si>
  <si>
    <t>Education</t>
  </si>
  <si>
    <t>Core government services</t>
  </si>
  <si>
    <t>Law and order</t>
  </si>
  <si>
    <t>Transport and communications</t>
  </si>
  <si>
    <t>Economic and industrial services</t>
  </si>
  <si>
    <t>Primary services</t>
  </si>
  <si>
    <t>Heritage, culture and recreation</t>
  </si>
  <si>
    <t>Other</t>
  </si>
  <si>
    <t>Finance costs</t>
  </si>
  <si>
    <t>Paid Parental Leave</t>
  </si>
  <si>
    <t>Student loans</t>
  </si>
  <si>
    <t>Social security and welfare expenses</t>
  </si>
  <si>
    <t>GSF pension expenses</t>
  </si>
  <si>
    <t>Health expenses</t>
  </si>
  <si>
    <t>Education expenses</t>
  </si>
  <si>
    <t>Primary and secondary education expenses</t>
  </si>
  <si>
    <t>Tertiary education expenses</t>
  </si>
  <si>
    <t>Law and order expenses</t>
  </si>
  <si>
    <t>Defence expenses</t>
  </si>
  <si>
    <t>Transport and communication expenses</t>
  </si>
  <si>
    <t>Heritage, culture and recreation expenses</t>
  </si>
  <si>
    <t>Housing and community development expenses</t>
  </si>
  <si>
    <t>Core Crown expenses</t>
  </si>
  <si>
    <t>Housing and community development</t>
  </si>
  <si>
    <t xml:space="preserve"> </t>
  </si>
  <si>
    <t>Family Tax Credit</t>
  </si>
  <si>
    <t>Childcare Assistance</t>
  </si>
  <si>
    <t>Veteran's Pension</t>
  </si>
  <si>
    <t>Benefit expenses</t>
  </si>
  <si>
    <t>Economic and industrial services expenses</t>
  </si>
  <si>
    <t>Tax receivable write-down and impairments</t>
  </si>
  <si>
    <r>
      <t>Other expenses</t>
    </r>
    <r>
      <rPr>
        <vertAlign val="superscript"/>
        <sz val="12"/>
        <rFont val="Arial"/>
        <family val="2"/>
      </rPr>
      <t>1</t>
    </r>
  </si>
  <si>
    <t>Professional development</t>
  </si>
  <si>
    <t>Schooling improvement</t>
  </si>
  <si>
    <t>Social rehabilitation and compensation</t>
  </si>
  <si>
    <t>Income-Related Rents</t>
  </si>
  <si>
    <t>Core government service expenses</t>
  </si>
  <si>
    <t>Environmental protection expenses</t>
  </si>
  <si>
    <t>($millions)</t>
  </si>
  <si>
    <t>Primary and secondary schools (see below)</t>
  </si>
  <si>
    <t>Primary services expenses</t>
  </si>
  <si>
    <t>Disability Assistance</t>
  </si>
  <si>
    <t>Accommodation Assistance</t>
  </si>
  <si>
    <t>Supported living payment</t>
  </si>
  <si>
    <t>Sole parent support</t>
  </si>
  <si>
    <t>Primary</t>
  </si>
  <si>
    <t>Secondary</t>
  </si>
  <si>
    <t>Welfare benefit expenses</t>
  </si>
  <si>
    <r>
      <t>Number of places provided</t>
    </r>
    <r>
      <rPr>
        <b/>
        <vertAlign val="superscript"/>
        <sz val="12"/>
        <rFont val="Arial"/>
        <family val="2"/>
      </rPr>
      <t>1</t>
    </r>
  </si>
  <si>
    <t>Environmental protection</t>
  </si>
  <si>
    <t>Primary and secondary schools</t>
  </si>
  <si>
    <t>Tertiary funding</t>
  </si>
  <si>
    <t>Actual delivered and estimated funded places</t>
  </si>
  <si>
    <t>Forecast new operating spending</t>
  </si>
  <si>
    <t>2021</t>
  </si>
  <si>
    <t>2022</t>
  </si>
  <si>
    <t>Best start</t>
  </si>
  <si>
    <t>2023</t>
  </si>
  <si>
    <t>2024</t>
  </si>
  <si>
    <t>Jobseeker Support and Emergency Benefit</t>
  </si>
  <si>
    <t>Student allowances</t>
  </si>
  <si>
    <t>Finance costs expenses</t>
  </si>
  <si>
    <t>Interest on financial liabilities</t>
  </si>
  <si>
    <t>Interest unwind on provisions</t>
  </si>
  <si>
    <r>
      <t>Tuition</t>
    </r>
    <r>
      <rPr>
        <vertAlign val="superscript"/>
        <sz val="12"/>
        <rFont val="Arial"/>
        <family val="2"/>
      </rPr>
      <t>1</t>
    </r>
  </si>
  <si>
    <t>Wage Subsidy Scheme</t>
  </si>
  <si>
    <t>2025</t>
  </si>
  <si>
    <t>Top-down operating expense adjustment</t>
  </si>
  <si>
    <t>Table 5.1</t>
  </si>
  <si>
    <t>Table 5.2</t>
  </si>
  <si>
    <t>Table 5.3</t>
  </si>
  <si>
    <t>Table 5.4</t>
  </si>
  <si>
    <t>Table 5.5</t>
  </si>
  <si>
    <t>Table 5.6</t>
  </si>
  <si>
    <t>Table 5.7</t>
  </si>
  <si>
    <t>Table 5.8</t>
  </si>
  <si>
    <t>Table 5.9</t>
  </si>
  <si>
    <t>Table 5.10</t>
  </si>
  <si>
    <t>Table 5.11</t>
  </si>
  <si>
    <t>Table 5.12</t>
  </si>
  <si>
    <t>Table 5.13</t>
  </si>
  <si>
    <t>Table 5.14</t>
  </si>
  <si>
    <t>Table 5.15</t>
  </si>
  <si>
    <t>Table 5.16</t>
  </si>
  <si>
    <t>Flexi-wage subsidy</t>
  </si>
  <si>
    <t>COVID-19 Income Relief Assistance</t>
  </si>
  <si>
    <t>Initial fair value write-down on the Small Business Cashflow Scheme loans</t>
  </si>
  <si>
    <t>Housing Acceleration Fund</t>
  </si>
  <si>
    <t>1. These are snapshots as at 1 July for primary year levels (years 1 to 8) and 1 March for secondary year levels (years 9 to 13). These numbers exclude home schooling.</t>
  </si>
  <si>
    <t xml:space="preserve">1.  Tertiary places are the number of equivalent full time (EFT) students in: student achievement component; adult and community education; and youth guarantee programmes. </t>
  </si>
  <si>
    <t>Crown Research Institutes: COVID-19</t>
  </si>
  <si>
    <t>2026</t>
  </si>
  <si>
    <t>COVID-19 apprentice support</t>
  </si>
  <si>
    <t>Orphan's/Unsupported Child's Benefit</t>
  </si>
  <si>
    <t>Hardship Assistance</t>
  </si>
  <si>
    <t>Covid leave support</t>
  </si>
  <si>
    <t>Cost of living payment</t>
  </si>
  <si>
    <t>Clean car discount</t>
  </si>
  <si>
    <t>Screen Production Grants</t>
  </si>
  <si>
    <t>School lunch programme</t>
  </si>
  <si>
    <t>COVID-19 cultural sector response</t>
  </si>
  <si>
    <t>Shovel ready project funding to support housing projects</t>
  </si>
  <si>
    <t>Shovel ready project funding to support regional projects</t>
  </si>
  <si>
    <t>Worker redeployment package</t>
  </si>
  <si>
    <t>Waka Kotahi NZ Transport Agency</t>
  </si>
  <si>
    <t>Shovel ready project funding to Crown Infrastructure Partners</t>
  </si>
  <si>
    <t xml:space="preserve">Shovel ready project funding </t>
  </si>
  <si>
    <t>2027</t>
  </si>
  <si>
    <r>
      <t>Beneficiary numbers</t>
    </r>
    <r>
      <rPr>
        <b/>
        <vertAlign val="superscript"/>
        <sz val="12"/>
        <rFont val="Arial"/>
        <family val="2"/>
      </rPr>
      <t>1</t>
    </r>
  </si>
  <si>
    <t>New Zealand Defence Force expenses</t>
  </si>
  <si>
    <t>Water infrastructure</t>
  </si>
  <si>
    <t>Community services</t>
  </si>
  <si>
    <t>KiwiSaver (includes HomeStart grant)</t>
  </si>
  <si>
    <t>Funding to support the aviation and transport industries</t>
  </si>
  <si>
    <t>COVID-19 Resurgence Support payments</t>
  </si>
  <si>
    <t>Shovel ready project to support energy projects</t>
  </si>
  <si>
    <t>2028</t>
  </si>
  <si>
    <t xml:space="preserve">     Place numbers are based on calendar years rather than fiscal years. Note that historical place numbers have been revised so may differ from previous published </t>
  </si>
  <si>
    <t xml:space="preserve">     based on demand. From 2023, places include Industry Training Funding.</t>
  </si>
  <si>
    <t>Indemnity and guarantee expenses</t>
  </si>
  <si>
    <t>1. Full-time equivalent based on 1,000 funded child hours per calendar year.</t>
  </si>
  <si>
    <t>Funding to support Waka Kotahi NZ Transport Agency due to impact of COVID-19</t>
  </si>
  <si>
    <t xml:space="preserve">     Economic and Fiscal Update numbers. The forecast number of places provided is based on the number of places that can be funded under the current funding and not a forecast </t>
  </si>
  <si>
    <t>1.  Actual numbers have been reclassified so may differ from previous published Economic and Fiscal Update numbers.</t>
  </si>
  <si>
    <t xml:space="preserve">    Historical place numbers have been revised so may differ from previous published Economic and Fiscal Update numbers.</t>
  </si>
  <si>
    <t>Rail funding</t>
  </si>
  <si>
    <r>
      <t>Transport temporary relief package</t>
    </r>
    <r>
      <rPr>
        <vertAlign val="superscript"/>
        <sz val="12"/>
        <rFont val="Arial"/>
        <family val="2"/>
      </rPr>
      <t>1</t>
    </r>
  </si>
  <si>
    <r>
      <t>Other expenses</t>
    </r>
    <r>
      <rPr>
        <vertAlign val="superscript"/>
        <sz val="12"/>
        <rFont val="Arial"/>
        <family val="2"/>
      </rPr>
      <t>2</t>
    </r>
  </si>
  <si>
    <r>
      <t>Transitional housing</t>
    </r>
    <r>
      <rPr>
        <vertAlign val="superscript"/>
        <sz val="12"/>
        <rFont val="Arial"/>
        <family val="2"/>
      </rPr>
      <t>1</t>
    </r>
  </si>
  <si>
    <t>Warm up New Zealand</t>
  </si>
  <si>
    <t>1. Previously included in other non-departmental expenses.</t>
  </si>
  <si>
    <t>Sole Parent Support</t>
  </si>
  <si>
    <t>Supported Living Payment</t>
  </si>
  <si>
    <t>Other Working for Families tax credits</t>
  </si>
  <si>
    <t>Winter Energy Payment</t>
  </si>
  <si>
    <t>2. Non-departmental outputs include employment initiatives previously presented separately.</t>
  </si>
  <si>
    <t>1. Includes training incentive allowance.</t>
  </si>
  <si>
    <r>
      <t>Other education expenses</t>
    </r>
    <r>
      <rPr>
        <vertAlign val="superscript"/>
        <sz val="12"/>
        <rFont val="Arial"/>
        <family val="2"/>
      </rPr>
      <t>1</t>
    </r>
  </si>
  <si>
    <t>Tertiary funding (see below)</t>
  </si>
  <si>
    <r>
      <t>Other expenses</t>
    </r>
    <r>
      <rPr>
        <vertAlign val="superscript"/>
        <sz val="12"/>
        <rFont val="Arial"/>
        <family val="2"/>
      </rPr>
      <t>1,2</t>
    </r>
  </si>
  <si>
    <t>1.  The '2023 Actual' has been restated to update sub-classifications.</t>
  </si>
  <si>
    <t>International Development Cooperation</t>
  </si>
  <si>
    <t>FamilyBoost tax credit</t>
  </si>
  <si>
    <t>Health payments to ACC</t>
  </si>
  <si>
    <t>2.  Previously included in purchasing of health services.</t>
  </si>
  <si>
    <r>
      <t>National health response to COVID-19</t>
    </r>
    <r>
      <rPr>
        <vertAlign val="superscript"/>
        <sz val="12"/>
        <rFont val="Arial"/>
        <family val="2"/>
      </rPr>
      <t>3</t>
    </r>
  </si>
  <si>
    <r>
      <t>National Pharmaceuticals Purchasing</t>
    </r>
    <r>
      <rPr>
        <vertAlign val="superscript"/>
        <sz val="12"/>
        <rFont val="Arial"/>
        <family val="2"/>
      </rPr>
      <t>2</t>
    </r>
  </si>
  <si>
    <t>1.  Reforms to the NZ health system took place from 1 July 2022 with the regional DHB systems replaced by a national health system.</t>
  </si>
  <si>
    <t>functions of the Government once decisions are made in future Budgets.</t>
  </si>
  <si>
    <t>The classifications of the functions of the Government reflect current approved baselines. Forecast new operating spending is shown as a separate line item in the above analysis and will be allocated to</t>
  </si>
  <si>
    <t xml:space="preserve">    They are the number of full-time equivalent students enrolled in New Zealand schools, including State, State-integrated, Private-Fully Registered, Private-Provisionally Registered and other. </t>
  </si>
  <si>
    <t>Accelerating energy efficiency and fuel switching</t>
  </si>
  <si>
    <t>1. The '2023 Actual' has been restated to include expenses previously classified as other benefits within the welfare benefit expenses table below.</t>
  </si>
  <si>
    <t>1. Non-departmental outputs include Provincial Growth Fund expenses.</t>
  </si>
  <si>
    <r>
      <t>NZ Customs Service</t>
    </r>
    <r>
      <rPr>
        <vertAlign val="superscript"/>
        <sz val="12"/>
        <rFont val="Arial"/>
        <family val="2"/>
      </rPr>
      <t>1</t>
    </r>
  </si>
  <si>
    <r>
      <t>Other departments</t>
    </r>
    <r>
      <rPr>
        <vertAlign val="superscript"/>
        <sz val="12"/>
        <rFont val="Arial"/>
        <family val="2"/>
      </rPr>
      <t>1</t>
    </r>
  </si>
  <si>
    <t>2. Includes housing subsidies previously presented separately.</t>
  </si>
  <si>
    <r>
      <t>NZ Emissions Trading Scheme</t>
    </r>
    <r>
      <rPr>
        <vertAlign val="superscript"/>
        <sz val="12"/>
        <rFont val="Arial"/>
        <family val="2"/>
      </rPr>
      <t>1</t>
    </r>
  </si>
  <si>
    <t>1. '2021 Actual' to '2023 Actual' were restated to update sub-classifications.</t>
  </si>
  <si>
    <t>2029</t>
  </si>
  <si>
    <t>2. The '2021 Actual' for other benefits include costs in relation to the Government's response to COVID-19.</t>
  </si>
  <si>
    <t>3. The '2023 Actual' has been restated to reclassify expenses from other benefits to other non-departmental expenses within the social security and welfare expenses table above.</t>
  </si>
  <si>
    <t xml:space="preserve">1.  Largely reflects operating funding to Waka Kotahi NZ Transport Agency to account for the shortfall in revenue as a result of temporary reductions in fuel excise duty and road user charges. </t>
  </si>
  <si>
    <t>3.  This line includes spending in relation to vaccines, managed isolation and quarantine as well as other COVID-19 response costs.</t>
  </si>
  <si>
    <r>
      <t>Other expenses</t>
    </r>
    <r>
      <rPr>
        <vertAlign val="superscript"/>
        <sz val="12"/>
        <rFont val="Arial"/>
        <family val="2"/>
      </rPr>
      <t>2, 3</t>
    </r>
  </si>
  <si>
    <t>3. Increase in 2026 largely reflects the divestment of the City Rail Link project.</t>
  </si>
  <si>
    <t>2030</t>
  </si>
  <si>
    <t>1. Previously included within Accommodation Assistance.</t>
  </si>
  <si>
    <t>2. The '2021 Actual' and '2022 Actual' for other expenses include costs in relation to the Government's response to COVID-19.</t>
  </si>
  <si>
    <t>3. The '2021 Actual' and '2022 Actual' other expenses include costs in relation to the Government's response to COVID-19.</t>
  </si>
  <si>
    <t>1.  The '2021 Actual' and '2022 Actual' other expenses include costs in relation to the Government's response to COVID-19.</t>
  </si>
  <si>
    <t xml:space="preserve">    The '2025 Actual' figures are based on the calendar year and are a combination of actual and forecast place numbers.</t>
  </si>
  <si>
    <r>
      <t>Emergency Housing Assistance</t>
    </r>
    <r>
      <rPr>
        <vertAlign val="superscript"/>
        <sz val="12"/>
        <rFont val="Arial"/>
        <family val="2"/>
      </rPr>
      <t>1</t>
    </r>
  </si>
  <si>
    <t>North Island weather events 2023</t>
  </si>
  <si>
    <t>1. The Ministry of Education have restructured their appropriations from 2026/27.</t>
  </si>
  <si>
    <r>
      <t>Non-departmental expenses</t>
    </r>
    <r>
      <rPr>
        <vertAlign val="superscript"/>
        <sz val="12"/>
        <rFont val="Arial"/>
        <family val="2"/>
      </rPr>
      <t>1,2</t>
    </r>
  </si>
  <si>
    <r>
      <t>Other benefits</t>
    </r>
    <r>
      <rPr>
        <vertAlign val="superscript"/>
        <sz val="12"/>
        <rFont val="Arial"/>
        <family val="2"/>
      </rPr>
      <t>2,3,4</t>
    </r>
  </si>
  <si>
    <t>4. The '2025 Actual' has been restated to reclassify expenses from other non-departmental expenses to other benefits within the social security and welfare expenses table above.</t>
  </si>
  <si>
    <t>2. The '2025 Actual' has been restated to exclude expenses previously classified as other benefits within the welfare benefit expenses table below.</t>
  </si>
  <si>
    <r>
      <t>Welfare benefits (see below)</t>
    </r>
    <r>
      <rPr>
        <vertAlign val="superscript"/>
        <sz val="12"/>
        <rFont val="Arial"/>
        <family val="2"/>
      </rPr>
      <t>1,2</t>
    </r>
  </si>
  <si>
    <r>
      <t>Other non-departmental expenses</t>
    </r>
    <r>
      <rPr>
        <vertAlign val="superscript"/>
        <sz val="12"/>
        <rFont val="Arial"/>
        <family val="2"/>
      </rPr>
      <t>1,2</t>
    </r>
  </si>
  <si>
    <r>
      <t>Learning support</t>
    </r>
    <r>
      <rPr>
        <vertAlign val="superscript"/>
        <sz val="12"/>
        <rFont val="Arial"/>
        <family val="2"/>
      </rPr>
      <t>2</t>
    </r>
  </si>
  <si>
    <t>2. Renamed from 'Special needs support' to 'Learning support'</t>
  </si>
  <si>
    <r>
      <t>Non-departmental outputs</t>
    </r>
    <r>
      <rPr>
        <vertAlign val="superscript"/>
        <sz val="12"/>
        <rFont val="Arial"/>
        <family val="2"/>
      </rPr>
      <t>1,2,4</t>
    </r>
  </si>
  <si>
    <r>
      <t>Other expenses</t>
    </r>
    <r>
      <rPr>
        <vertAlign val="superscript"/>
        <sz val="12"/>
        <rFont val="Arial"/>
        <family val="2"/>
      </rPr>
      <t>3,4</t>
    </r>
  </si>
  <si>
    <r>
      <t>National disability support services</t>
    </r>
    <r>
      <rPr>
        <vertAlign val="superscript"/>
        <sz val="12"/>
        <rFont val="Arial"/>
        <family val="2"/>
      </rPr>
      <t>4</t>
    </r>
    <r>
      <rPr>
        <sz val="12"/>
        <rFont val="Arial"/>
        <family val="2"/>
      </rPr>
      <t xml:space="preserve"> </t>
    </r>
  </si>
  <si>
    <r>
      <t>Other non-departmental outputs</t>
    </r>
    <r>
      <rPr>
        <vertAlign val="superscript"/>
        <sz val="12"/>
        <rFont val="Arial"/>
        <family val="2"/>
      </rPr>
      <t>4</t>
    </r>
    <r>
      <rPr>
        <sz val="12"/>
        <rFont val="Arial"/>
        <family val="2"/>
      </rPr>
      <t xml:space="preserve"> </t>
    </r>
  </si>
  <si>
    <r>
      <t>Teachers, leaders and governance</t>
    </r>
    <r>
      <rPr>
        <vertAlign val="superscript"/>
        <sz val="12"/>
        <rFont val="Arial"/>
        <family val="2"/>
      </rPr>
      <t>1</t>
    </r>
  </si>
  <si>
    <r>
      <t>Access to education</t>
    </r>
    <r>
      <rPr>
        <vertAlign val="superscript"/>
        <sz val="12"/>
        <rFont val="Arial"/>
        <family val="2"/>
      </rPr>
      <t>1</t>
    </r>
  </si>
  <si>
    <r>
      <t>System stewardship and operational management</t>
    </r>
    <r>
      <rPr>
        <vertAlign val="superscript"/>
        <sz val="12"/>
        <rFont val="Arial"/>
        <family val="2"/>
      </rPr>
      <t>1</t>
    </r>
  </si>
  <si>
    <t>1. The '2021 Actual' included a reduction in funding corresponding to increased funding in the year prior to provide revenue certainty to tertiary education organisations for the June to December 2020 period</t>
  </si>
  <si>
    <t xml:space="preserve">    due to the impact of COVID-19. The timing of funding returned to normal from 2022.</t>
  </si>
  <si>
    <t>2.  The '2025 Actual' has been restated to reclassify expenses from other non-departmental expenses to other expenses.</t>
  </si>
  <si>
    <t>1. From '2023 Actual' onwards other expenses include aquaculture settlements, expenses associated with sustainable food and fibre futures and the 2023 North Island weather events.</t>
  </si>
  <si>
    <r>
      <t>Purchasing of health services</t>
    </r>
    <r>
      <rPr>
        <vertAlign val="superscript"/>
        <sz val="12"/>
        <rFont val="Arial"/>
        <family val="2"/>
      </rPr>
      <t>1,5</t>
    </r>
  </si>
  <si>
    <t>4.  The '2025 Actual' has been restated to reclassify expenses from national disability support services to other non-departmental outputs.</t>
  </si>
  <si>
    <t xml:space="preserve">5.  From 2026/27 onwards, funding to Health New Zealand for capital charge costs are excluded as it is now exempt from the regime. This change is fiscally neutral to the Crown as this reduction in </t>
  </si>
  <si>
    <t xml:space="preserve">     expense also results in a reduction to revenue. It does not reflect a change in the funding the health system has available for health infrastructure development or service delivery.</t>
  </si>
  <si>
    <t>4. The '2025 Actual' has been restated to reclassify expenses from non-departmental outputs to other expenses.</t>
  </si>
  <si>
    <t>Published by the New Zealand Treasury at:</t>
  </si>
  <si>
    <t>Crown copyright ©</t>
  </si>
  <si>
    <t>This copyright work is licensed under the Creative Commons Attribution 4.0 International licence. In essence, you are free to copy, distribute and adapt the work, as long as you attribute the work to the Crown and abide by the other licence terms.</t>
  </si>
  <si>
    <t>To view a copy of this licence, visit https://creativecommons.org/licenses/by/4.0/. Please note that no departmental or governmental emblem, logo or Coat of Arms may be used in any way which infringes any provision of the Flags, Emblems, and Names Protection Act 1981 or would infringe such provision if the relevant use occurred within New Zealand. Attribution to the Crown should be in written form and not by reproduction of any such emblem, logo or Coat of Arms.</t>
  </si>
  <si>
    <t>Data - Core Crown Expense Tables - Budget Economic and Fiscal Update 2026</t>
  </si>
  <si>
    <t>Published 28 May 2026</t>
  </si>
  <si>
    <t>https://treasury.govt.nz/publications/efu/budget-economic-and-fiscal-update-2026</t>
  </si>
  <si>
    <t>https://budget.govt.nz/budget/forecasts/befu2026.htm</t>
  </si>
  <si>
    <t>Source: The Treasury</t>
  </si>
  <si>
    <t>Source: Ministry of Social Development</t>
  </si>
  <si>
    <t>Source: The Ministry of Education</t>
  </si>
  <si>
    <t>Source: Ministry of Education</t>
  </si>
  <si>
    <t>Source: Tertiary Education Commission</t>
  </si>
  <si>
    <r>
      <t>This spreadsheet contains the tables that appear in chapter 5 of the Budget Economic and Fiscal Update 2026</t>
    </r>
    <r>
      <rPr>
        <sz val="1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</si>
</sst>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6">
    <numFmt numFmtId="164" formatCode="&quot;$&quot;#,##0.00_);\(&quot;$&quot;#,##0.00\)"/>
    <numFmt numFmtId="165" formatCode="_(&quot;$&quot;* #,##0.00_);_(&quot;$&quot;* \(#,##0.00\);_(&quot;$&quot;* &quot;-&quot;??_);_(@_)"/>
    <numFmt numFmtId="166" formatCode="_(* #,##0.00_);_(* \(#,##0.00\);_(* &quot;-&quot;??_);_(@_)"/>
    <numFmt numFmtId="167" formatCode="0__"/>
    <numFmt numFmtId="168" formatCode="#,##0_);\(\ #,##0\);\ &quot;..  &quot;"/>
    <numFmt numFmtId="169" formatCode="#,##0_);\(#,##0\);&quot;..  &quot;"/>
    <numFmt numFmtId="170" formatCode="#,##0.0_);\(#,##0.0\)"/>
    <numFmt numFmtId="171" formatCode="#,##0_);\(#,##0\);\-\ \ "/>
    <numFmt numFmtId="172" formatCode="#,##0_);\(#,##0\);\-_)"/>
    <numFmt numFmtId="173" formatCode="#,##0.00_);\(#,##0.00\);\-_)"/>
    <numFmt numFmtId="174" formatCode="&quot;$&quot;#,##0.00_);\(&quot;$&quot;#,##0.00\);\-_)"/>
    <numFmt numFmtId="175" formatCode="&quot;$&quot;#,##0.000,,&quot;m&quot;_);\(&quot;$&quot;#,##0.000,,&quot;m&quot;\);\-_)"/>
    <numFmt numFmtId="176" formatCode="[=0]&quot;-&quot;_);dd\-mmm\-yy"/>
    <numFmt numFmtId="177" formatCode="&quot;$&quot;#,##0_);\(&quot;$&quot;#,##0\);\-_)"/>
    <numFmt numFmtId="178" formatCode="&quot;$&quot;#_);\(&quot;$&quot;#\);\-_)"/>
    <numFmt numFmtId="179" formatCode="&quot;$&quot;#,##0.00_);\(&quot;$&quot;#,##0.00_);\-_)"/>
    <numFmt numFmtId="180" formatCode="0.0%"/>
    <numFmt numFmtId="181" formatCode="mmm\-yy_)"/>
    <numFmt numFmtId="182" formatCode="#,##0.0_);[Red]\(#,##0.0\)"/>
    <numFmt numFmtId="183" formatCode="0.00%;[Red]\-0.00%"/>
    <numFmt numFmtId="184" formatCode="0.0%;[Red]\-0.0%"/>
    <numFmt numFmtId="185" formatCode="0.0%;\(0.0%\)"/>
    <numFmt numFmtId="186" formatCode="###0_)"/>
    <numFmt numFmtId="187" formatCode="#,##0.000_);\(#,##0.000\)"/>
    <numFmt numFmtId="188" formatCode="mmm"/>
    <numFmt numFmtId="189" formatCode="#,##0.000"/>
    <numFmt numFmtId="190" formatCode="_-[$€-2]* #,##0.00_-;\-[$€-2]* #,##0.00_-;_-[$€-2]* &quot;-&quot;??_-"/>
    <numFmt numFmtId="191" formatCode="#,##0.000000000_);[Red]\(#,##0.000000000\)"/>
    <numFmt numFmtId="192" formatCode="_-* #,##0.000000000000000_-;\-* #,##0.000000000000000_-;_-* &quot;-&quot;??_-;_-@_-"/>
    <numFmt numFmtId="193" formatCode="0.00%;\(0.00%\)"/>
    <numFmt numFmtId="194" formatCode="m/d/yy"/>
    <numFmt numFmtId="195" formatCode="&quot;$&quot;#,##0.00000000000000000000000_);\(&quot;$&quot;#,##0.00000000000000000000000\)"/>
    <numFmt numFmtId="196" formatCode="#,##0.00000_);[Red]\(#,##0.00000\)"/>
    <numFmt numFmtId="197" formatCode="_-* #,##0.00000000000_-;\-* #,##0.00000000000_-;_-* &quot;-&quot;??_-;_-@_-"/>
    <numFmt numFmtId="198" formatCode="&quot;CPI &quot;mmm\-yy"/>
    <numFmt numFmtId="199" formatCode="_-* #,##0.0000000000_-;\-* #,##0.0000000000_-;_-* &quot;-&quot;??_-;_-@_-"/>
  </numFmts>
  <fonts count="100">
    <font>
      <sz val="10"/>
      <name val="Times New Roman"/>
    </font>
    <font>
      <sz val="11"/>
      <color theme="1"/>
      <name val="Calibri"/>
      <family val="2"/>
      <scheme val="minor"/>
    </font>
    <font>
      <sz val="11"/>
      <color theme="1"/>
      <name val="Calibri"/>
      <family val="2"/>
      <scheme val="minor"/>
    </font>
    <font>
      <sz val="10"/>
      <name val="Times New Roman"/>
      <family val="1"/>
    </font>
    <font>
      <sz val="12"/>
      <name val="Arial"/>
      <family val="2"/>
    </font>
    <font>
      <b/>
      <sz val="12"/>
      <name val="Arial"/>
      <family val="2"/>
    </font>
    <font>
      <b/>
      <sz val="12"/>
      <name val="Arial"/>
      <family val="2"/>
    </font>
    <font>
      <sz val="12"/>
      <name val="Arial"/>
      <family val="2"/>
    </font>
    <font>
      <sz val="12"/>
      <name val="Times New Roman"/>
      <family val="1"/>
    </font>
    <font>
      <vertAlign val="superscript"/>
      <sz val="12"/>
      <name val="Arial"/>
      <family val="2"/>
    </font>
    <font>
      <sz val="10"/>
      <name val="Arial"/>
      <family val="2"/>
    </font>
    <font>
      <sz val="9"/>
      <name val="Arial"/>
      <family val="2"/>
    </font>
    <font>
      <b/>
      <sz val="9"/>
      <name val="Arial"/>
      <family val="2"/>
    </font>
    <font>
      <b/>
      <sz val="14"/>
      <name val="Arial"/>
      <family val="2"/>
    </font>
    <font>
      <b/>
      <sz val="10"/>
      <name val="Arial"/>
      <family val="2"/>
    </font>
    <font>
      <b/>
      <vertAlign val="superscript"/>
      <sz val="12"/>
      <name val="Arial"/>
      <family val="2"/>
    </font>
    <font>
      <sz val="14"/>
      <name val="Arial"/>
      <family val="2"/>
    </font>
    <font>
      <sz val="8"/>
      <name val="Arial"/>
      <family val="2"/>
    </font>
    <font>
      <sz val="10"/>
      <name val="MS Sans Serif"/>
      <family val="2"/>
    </font>
    <font>
      <sz val="10"/>
      <name val="MS Sans Serif"/>
      <family val="2"/>
    </font>
    <font>
      <sz val="8"/>
      <name val="Helv"/>
    </font>
    <font>
      <sz val="11"/>
      <color indexed="8"/>
      <name val="Calibri"/>
      <family val="2"/>
    </font>
    <font>
      <sz val="11"/>
      <color indexed="9"/>
      <name val="Calibri"/>
      <family val="2"/>
    </font>
    <font>
      <b/>
      <sz val="11"/>
      <color indexed="9"/>
      <name val="Calibri"/>
      <family val="2"/>
    </font>
    <font>
      <sz val="11"/>
      <color indexed="62"/>
      <name val="Calibri"/>
      <family val="2"/>
    </font>
    <font>
      <sz val="11"/>
      <color indexed="10"/>
      <name val="Calibri"/>
      <family val="2"/>
    </font>
    <font>
      <b/>
      <sz val="11"/>
      <color indexed="63"/>
      <name val="Calibri"/>
      <family val="2"/>
    </font>
    <font>
      <b/>
      <sz val="11"/>
      <color indexed="8"/>
      <name val="Calibri"/>
      <family val="2"/>
    </font>
    <font>
      <sz val="10"/>
      <name val="Calibri"/>
      <family val="2"/>
    </font>
    <font>
      <sz val="10"/>
      <color indexed="12"/>
      <name val="Arial"/>
      <family val="2"/>
    </font>
    <font>
      <b/>
      <sz val="15"/>
      <color indexed="56"/>
      <name val="Calibri"/>
      <family val="2"/>
    </font>
    <font>
      <b/>
      <sz val="13"/>
      <color indexed="56"/>
      <name val="Calibri"/>
      <family val="2"/>
    </font>
    <font>
      <sz val="11"/>
      <color indexed="52"/>
      <name val="Calibri"/>
      <family val="2"/>
    </font>
    <font>
      <sz val="11"/>
      <color indexed="20"/>
      <name val="Verdana"/>
      <family val="2"/>
    </font>
    <font>
      <b/>
      <sz val="11"/>
      <color indexed="52"/>
      <name val="Calibri"/>
      <family val="2"/>
    </font>
    <font>
      <sz val="10"/>
      <color indexed="10"/>
      <name val="Calibri"/>
      <family val="2"/>
    </font>
    <font>
      <sz val="10"/>
      <color indexed="12"/>
      <name val="Calibri"/>
      <family val="2"/>
    </font>
    <font>
      <sz val="11"/>
      <color indexed="17"/>
      <name val="Verdana"/>
      <family val="2"/>
    </font>
    <font>
      <sz val="8"/>
      <color indexed="12"/>
      <name val="Calibri"/>
      <family val="2"/>
    </font>
    <font>
      <sz val="11"/>
      <color indexed="60"/>
      <name val="Verdana"/>
      <family val="2"/>
    </font>
    <font>
      <b/>
      <sz val="10"/>
      <name val="Calibri"/>
      <family val="2"/>
    </font>
    <font>
      <i/>
      <sz val="10"/>
      <name val="Calibri"/>
      <family val="2"/>
    </font>
    <font>
      <i/>
      <sz val="10"/>
      <name val="Arial"/>
      <family val="2"/>
    </font>
    <font>
      <sz val="8"/>
      <color indexed="12"/>
      <name val="Arial"/>
      <family val="2"/>
    </font>
    <font>
      <sz val="10"/>
      <name val="MS Sans Serif"/>
    </font>
    <font>
      <vertAlign val="superscript"/>
      <sz val="10"/>
      <name val="Times New Roman"/>
      <family val="1"/>
    </font>
    <font>
      <sz val="8"/>
      <name val="Times New Roman"/>
      <family val="1"/>
    </font>
    <font>
      <sz val="11"/>
      <color theme="1"/>
      <name val="Calibri"/>
      <family val="2"/>
      <scheme val="minor"/>
    </font>
    <font>
      <i/>
      <sz val="9"/>
      <color rgb="FF7F7F7F"/>
      <name val="Calibri"/>
      <family val="2"/>
    </font>
    <font>
      <b/>
      <sz val="10"/>
      <color rgb="FF121F6B"/>
      <name val="Georgia"/>
      <family val="1"/>
    </font>
    <font>
      <b/>
      <sz val="10"/>
      <color rgb="FF121F6B"/>
      <name val="Verdana"/>
      <family val="2"/>
    </font>
    <font>
      <b/>
      <sz val="11"/>
      <color rgb="FFFFFFFF"/>
      <name val="Georgia"/>
      <family val="1"/>
    </font>
    <font>
      <b/>
      <sz val="11"/>
      <color rgb="FFFFFFFF"/>
      <name val="Calibri"/>
      <family val="2"/>
    </font>
    <font>
      <b/>
      <sz val="10"/>
      <color rgb="FF121F6B"/>
      <name val="Calibri"/>
      <family val="2"/>
    </font>
    <font>
      <sz val="22"/>
      <color theme="0" tint="-0.499984740745262"/>
      <name val="Georgia"/>
      <family val="1"/>
    </font>
    <font>
      <b/>
      <sz val="11"/>
      <color rgb="FF003366"/>
      <name val="Calibri"/>
      <family val="2"/>
    </font>
    <font>
      <b/>
      <sz val="11"/>
      <color rgb="FF003366"/>
      <name val="Calibri"/>
      <family val="2"/>
      <scheme val="minor"/>
    </font>
    <font>
      <u/>
      <sz val="10"/>
      <color theme="10"/>
      <name val="Calibri"/>
      <family val="2"/>
    </font>
    <font>
      <sz val="11"/>
      <color theme="1"/>
      <name val="Arial Mäori"/>
      <family val="2"/>
    </font>
    <font>
      <sz val="10"/>
      <color theme="1"/>
      <name val="Arial"/>
      <family val="2"/>
    </font>
    <font>
      <i/>
      <sz val="8"/>
      <color rgb="FF7F7F7F"/>
      <name val="Calibri"/>
      <family val="2"/>
    </font>
    <font>
      <sz val="10"/>
      <color theme="0" tint="-0.499984740745262"/>
      <name val="Calibri"/>
      <family val="2"/>
    </font>
    <font>
      <b/>
      <sz val="18"/>
      <color rgb="FF003366"/>
      <name val="Verdana"/>
      <family val="2"/>
    </font>
    <font>
      <b/>
      <sz val="18"/>
      <color rgb="FF003366"/>
      <name val="Georgia"/>
      <family val="1"/>
    </font>
    <font>
      <sz val="18"/>
      <color theme="0"/>
      <name val="Georgia"/>
      <family val="1"/>
    </font>
    <font>
      <b/>
      <sz val="18"/>
      <color theme="0"/>
      <name val="Verdana"/>
      <family val="2"/>
    </font>
    <font>
      <b/>
      <sz val="12"/>
      <color rgb="FFFF0000"/>
      <name val="Arial"/>
      <family val="2"/>
    </font>
    <font>
      <b/>
      <sz val="14"/>
      <color rgb="FFFF0000"/>
      <name val="Arial"/>
      <family val="2"/>
    </font>
    <font>
      <sz val="12"/>
      <color rgb="FF000000"/>
      <name val="Arial"/>
      <family val="2"/>
    </font>
    <font>
      <sz val="8"/>
      <name val="Times New Roman"/>
      <family val="1"/>
    </font>
    <font>
      <b/>
      <sz val="11"/>
      <name val="Arial"/>
      <family val="2"/>
    </font>
    <font>
      <sz val="10"/>
      <name val="Univers (WN)"/>
    </font>
    <font>
      <sz val="8"/>
      <name val="CG Times (E1)"/>
    </font>
    <font>
      <sz val="10"/>
      <name val="Helv"/>
    </font>
    <font>
      <sz val="11"/>
      <name val="Arial"/>
      <family val="2"/>
    </font>
    <font>
      <b/>
      <sz val="24"/>
      <name val="Arial"/>
      <family val="2"/>
    </font>
    <font>
      <b/>
      <i/>
      <sz val="14"/>
      <name val="Arial"/>
      <family val="2"/>
    </font>
    <font>
      <b/>
      <i/>
      <sz val="11"/>
      <name val="CG Times"/>
      <family val="1"/>
    </font>
    <font>
      <shadow/>
      <sz val="8"/>
      <color indexed="12"/>
      <name val="Times New Roman"/>
      <family val="1"/>
    </font>
    <font>
      <b/>
      <sz val="14"/>
      <name val="Times New Roman"/>
      <family val="1"/>
    </font>
    <font>
      <sz val="10"/>
      <name val="Univers (E1)"/>
    </font>
    <font>
      <b/>
      <sz val="12"/>
      <name val="Univers (WN)"/>
    </font>
    <font>
      <b/>
      <sz val="10"/>
      <name val="Univers (WN)"/>
    </font>
    <font>
      <sz val="11"/>
      <color theme="0"/>
      <name val="Arial Mäori"/>
      <family val="2"/>
    </font>
    <font>
      <sz val="11"/>
      <color rgb="FF006100"/>
      <name val="Arial Mäori"/>
      <family val="2"/>
    </font>
    <font>
      <sz val="10"/>
      <color indexed="10"/>
      <name val="Arial"/>
      <family val="2"/>
    </font>
    <font>
      <b/>
      <sz val="10"/>
      <color theme="0"/>
      <name val="Calibri"/>
      <family val="2"/>
    </font>
    <font>
      <b/>
      <sz val="10"/>
      <color theme="4" tint="-0.24994659260841701"/>
      <name val="Calibri"/>
      <family val="2"/>
    </font>
    <font>
      <i/>
      <sz val="9"/>
      <color rgb="FF7F7F7F"/>
      <name val="Calibri"/>
      <family val="2"/>
      <scheme val="minor"/>
    </font>
    <font>
      <b/>
      <sz val="18"/>
      <color theme="0"/>
      <name val="Calibri"/>
      <family val="2"/>
    </font>
    <font>
      <sz val="11"/>
      <color indexed="20"/>
      <name val="Calibri"/>
      <family val="2"/>
    </font>
    <font>
      <i/>
      <sz val="10"/>
      <color rgb="FF7F7F7F"/>
      <name val="Calibri"/>
      <family val="2"/>
      <scheme val="minor"/>
    </font>
    <font>
      <b/>
      <sz val="11"/>
      <color indexed="56"/>
      <name val="Calibri"/>
      <family val="2"/>
    </font>
    <font>
      <sz val="11"/>
      <color indexed="60"/>
      <name val="Calibri"/>
      <family val="2"/>
    </font>
    <font>
      <b/>
      <sz val="18"/>
      <color indexed="56"/>
      <name val="Cambria"/>
      <family val="2"/>
    </font>
    <font>
      <sz val="8"/>
      <color theme="1"/>
      <name val="Arial"/>
      <family val="2"/>
    </font>
    <font>
      <b/>
      <sz val="12"/>
      <color rgb="FF0083AC"/>
      <name val="Arial"/>
      <family val="2"/>
    </font>
    <font>
      <u/>
      <sz val="10"/>
      <color theme="10"/>
      <name val="Times New Roman"/>
      <family val="1"/>
    </font>
    <font>
      <u/>
      <sz val="10"/>
      <color rgb="FF0083AC"/>
      <name val="Arial"/>
      <family val="2"/>
    </font>
    <font>
      <b/>
      <sz val="10"/>
      <color theme="1"/>
      <name val="Arial"/>
      <family val="2"/>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4"/>
        <bgColor indexed="64"/>
      </patternFill>
    </fill>
    <fill>
      <patternFill patternType="solid">
        <fgColor indexed="51"/>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darkGrid">
        <fgColor indexed="9"/>
        <bgColor indexed="43"/>
      </patternFill>
    </fill>
    <fill>
      <patternFill patternType="solid">
        <fgColor indexed="26"/>
        <bgColor indexed="64"/>
      </patternFill>
    </fill>
    <fill>
      <patternFill patternType="solid">
        <fgColor indexed="55"/>
        <bgColor indexed="64"/>
      </patternFill>
    </fill>
    <fill>
      <patternFill patternType="solid">
        <fgColor rgb="FF121F6B"/>
        <bgColor indexed="64"/>
      </patternFill>
    </fill>
    <fill>
      <patternFill patternType="solid">
        <fgColor rgb="FFFFFFCC"/>
        <bgColor indexed="9"/>
      </patternFill>
    </fill>
    <fill>
      <patternFill patternType="solid">
        <fgColor theme="0"/>
        <bgColor indexed="64"/>
      </patternFill>
    </fill>
    <fill>
      <patternFill patternType="solid">
        <fgColor rgb="FFC6EFCE"/>
      </patternFill>
    </fill>
    <fill>
      <patternFill patternType="solid">
        <fgColor theme="7"/>
      </patternFill>
    </fill>
    <fill>
      <patternFill patternType="solid">
        <fgColor theme="4" tint="-0.24994659260841701"/>
        <bgColor indexed="64"/>
      </patternFill>
    </fill>
    <fill>
      <patternFill patternType="solid">
        <fgColor theme="8" tint="0.79998168889431442"/>
        <bgColor indexed="64"/>
      </patternFill>
    </fill>
    <fill>
      <patternFill patternType="solid">
        <fgColor rgb="FFEAEAEA"/>
        <bgColor indexed="64"/>
      </patternFill>
    </fill>
    <fill>
      <patternFill patternType="solid">
        <fgColor theme="0" tint="-0.24994659260841701"/>
        <bgColor indexed="64"/>
      </patternFill>
    </fill>
    <fill>
      <patternFill patternType="solid">
        <fgColor theme="0" tint="-0.14999847407452621"/>
        <bgColor indexed="64"/>
      </patternFill>
    </fill>
  </fills>
  <borders count="416">
    <border>
      <left/>
      <right/>
      <top/>
      <bottom/>
      <diagonal/>
    </border>
    <border>
      <left style="hair">
        <color indexed="55"/>
      </left>
      <right style="hair">
        <color indexed="55"/>
      </right>
      <top style="hair">
        <color indexed="55"/>
      </top>
      <bottom style="hair">
        <color indexed="55"/>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tted">
        <color indexed="8"/>
      </left>
      <right style="dotted">
        <color indexed="8"/>
      </right>
      <top style="dotted">
        <color indexed="8"/>
      </top>
      <bottom style="dotted">
        <color indexed="8"/>
      </bottom>
      <diagonal/>
    </border>
    <border>
      <left/>
      <right/>
      <top/>
      <bottom style="thin">
        <color indexed="64"/>
      </bottom>
      <diagonal/>
    </border>
    <border>
      <left/>
      <right/>
      <top style="thin">
        <color indexed="64"/>
      </top>
      <bottom style="medium">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theme="3" tint="-0.24994659260841701"/>
      </bottom>
      <diagonal/>
    </border>
    <border>
      <left/>
      <right/>
      <top/>
      <bottom style="thick">
        <color rgb="FF121F6B"/>
      </bottom>
      <diagonal/>
    </border>
    <border>
      <left/>
      <right/>
      <top/>
      <bottom style="medium">
        <color rgb="FF121F6B"/>
      </bottom>
      <diagonal/>
    </border>
    <border>
      <left/>
      <right/>
      <top/>
      <bottom style="thin">
        <color theme="0" tint="-0.14996795556505021"/>
      </bottom>
      <diagonal/>
    </border>
    <border>
      <left/>
      <right/>
      <top/>
      <bottom style="double">
        <color rgb="FF003366"/>
      </bottom>
      <diagonal/>
    </border>
    <border>
      <left style="thin">
        <color rgb="FF0083AC"/>
      </left>
      <right/>
      <top style="thin">
        <color rgb="FF0083AC"/>
      </top>
      <bottom/>
      <diagonal/>
    </border>
    <border>
      <left/>
      <right/>
      <top style="thin">
        <color rgb="FF0083AC"/>
      </top>
      <bottom/>
      <diagonal/>
    </border>
    <border>
      <left/>
      <right style="thin">
        <color rgb="FF0083AC"/>
      </right>
      <top style="thin">
        <color rgb="FF0083AC"/>
      </top>
      <bottom/>
      <diagonal/>
    </border>
    <border>
      <left style="thin">
        <color rgb="FF0083AC"/>
      </left>
      <right/>
      <top/>
      <bottom/>
      <diagonal/>
    </border>
    <border>
      <left/>
      <right style="thin">
        <color rgb="FF0083AC"/>
      </right>
      <top/>
      <bottom/>
      <diagonal/>
    </border>
    <border>
      <left/>
      <right style="thin">
        <color rgb="FF0083AC"/>
      </right>
      <top/>
      <bottom style="thin">
        <color indexed="64"/>
      </bottom>
      <diagonal/>
    </border>
    <border>
      <left style="thin">
        <color rgb="FF0083AC"/>
      </left>
      <right/>
      <top/>
      <bottom style="thin">
        <color rgb="FF0083AC"/>
      </bottom>
      <diagonal/>
    </border>
    <border>
      <left/>
      <right/>
      <top/>
      <bottom style="thin">
        <color rgb="FF0083AC"/>
      </bottom>
      <diagonal/>
    </border>
    <border>
      <left/>
      <right style="thin">
        <color rgb="FF0083AC"/>
      </right>
      <top/>
      <bottom style="thin">
        <color rgb="FF0083AC"/>
      </bottom>
      <diagonal/>
    </border>
    <border>
      <left style="thin">
        <color indexed="64"/>
      </left>
      <right style="thin">
        <color indexed="64"/>
      </right>
      <top/>
      <bottom/>
      <diagonal/>
    </border>
    <border>
      <left/>
      <right/>
      <top style="thin">
        <color indexed="64"/>
      </top>
      <bottom style="thin">
        <color indexed="64"/>
      </bottom>
      <diagonal/>
    </border>
    <border>
      <left/>
      <right/>
      <top/>
      <bottom style="double">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s>
  <cellStyleXfs count="3857">
    <xf numFmtId="38"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17" fillId="0" borderId="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3" fillId="3" borderId="0" applyNumberFormat="0" applyBorder="0" applyAlignment="0" applyProtection="0"/>
    <xf numFmtId="172" fontId="28" fillId="0" borderId="1">
      <alignment horizontal="right" vertical="top"/>
    </xf>
    <xf numFmtId="173" fontId="28" fillId="0" borderId="1">
      <alignment horizontal="right" vertical="top"/>
    </xf>
    <xf numFmtId="174" fontId="10" fillId="0" borderId="1">
      <alignment horizontal="right" vertical="top"/>
    </xf>
    <xf numFmtId="174" fontId="28" fillId="0" borderId="1">
      <alignment horizontal="right" vertical="top"/>
    </xf>
    <xf numFmtId="177" fontId="28" fillId="0" borderId="1">
      <alignment horizontal="right" vertical="top"/>
    </xf>
    <xf numFmtId="174" fontId="28" fillId="0" borderId="1">
      <alignment horizontal="right" vertical="top"/>
    </xf>
    <xf numFmtId="175" fontId="28" fillId="0" borderId="1">
      <alignment horizontal="right" vertical="top"/>
    </xf>
    <xf numFmtId="10" fontId="28" fillId="0" borderId="1">
      <alignment horizontal="right" vertical="top"/>
    </xf>
    <xf numFmtId="176" fontId="28" fillId="0" borderId="1">
      <alignment horizontal="right" vertical="top"/>
    </xf>
    <xf numFmtId="0" fontId="28" fillId="0" borderId="1">
      <alignment horizontal="left" vertical="top"/>
    </xf>
    <xf numFmtId="0" fontId="34" fillId="20" borderId="2" applyNumberFormat="0" applyAlignment="0" applyProtection="0"/>
    <xf numFmtId="0" fontId="23" fillId="21" borderId="3" applyNumberFormat="0" applyAlignment="0" applyProtection="0"/>
    <xf numFmtId="166" fontId="10" fillId="0" borderId="0" applyFont="0" applyFill="0" applyBorder="0" applyAlignment="0" applyProtection="0"/>
    <xf numFmtId="166" fontId="10" fillId="0" borderId="0" applyFont="0" applyFill="0" applyBorder="0" applyAlignment="0" applyProtection="0"/>
    <xf numFmtId="166" fontId="19" fillId="0" borderId="0" applyFont="0" applyFill="0" applyBorder="0" applyAlignment="0" applyProtection="0"/>
    <xf numFmtId="166" fontId="18" fillId="0" borderId="0" applyFont="0" applyFill="0" applyBorder="0" applyAlignment="0" applyProtection="0"/>
    <xf numFmtId="38" fontId="20" fillId="0" borderId="0"/>
    <xf numFmtId="0" fontId="28" fillId="22" borderId="0" applyNumberFormat="0" applyBorder="0" applyAlignment="0" applyProtection="0"/>
    <xf numFmtId="1" fontId="35" fillId="0" borderId="0" applyFill="0" applyBorder="0">
      <alignment horizontal="center" vertical="center"/>
    </xf>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172" fontId="36" fillId="0" borderId="1">
      <alignment horizontal="right" vertical="top"/>
    </xf>
    <xf numFmtId="173" fontId="36" fillId="0" borderId="1">
      <alignment vertical="center"/>
    </xf>
    <xf numFmtId="174" fontId="29" fillId="0" borderId="1">
      <alignment horizontal="right" vertical="top"/>
    </xf>
    <xf numFmtId="177" fontId="36" fillId="0" borderId="1">
      <alignment horizontal="right" vertical="top"/>
    </xf>
    <xf numFmtId="174" fontId="36" fillId="0" borderId="1">
      <alignment horizontal="right" vertical="top"/>
    </xf>
    <xf numFmtId="175" fontId="36" fillId="0" borderId="1">
      <alignment horizontal="right" vertical="top"/>
    </xf>
    <xf numFmtId="10" fontId="36" fillId="0" borderId="1">
      <alignment horizontal="right" vertical="top"/>
    </xf>
    <xf numFmtId="176" fontId="36" fillId="0" borderId="1">
      <alignment horizontal="right" vertical="top"/>
    </xf>
    <xf numFmtId="0" fontId="36" fillId="0" borderId="1">
      <alignment horizontal="left" vertical="top"/>
    </xf>
    <xf numFmtId="0" fontId="37" fillId="4" borderId="0" applyNumberFormat="0" applyBorder="0" applyAlignment="0" applyProtection="0"/>
    <xf numFmtId="0" fontId="49" fillId="23" borderId="4" applyFill="0">
      <alignment horizontal="center" vertical="center" wrapText="1"/>
    </xf>
    <xf numFmtId="0" fontId="50" fillId="23" borderId="4" applyFill="0">
      <alignment horizontal="center" vertical="center" wrapText="1"/>
    </xf>
    <xf numFmtId="0" fontId="51" fillId="30" borderId="0" applyAlignment="0" applyProtection="0">
      <alignment horizontal="right" vertical="center"/>
      <protection locked="0"/>
    </xf>
    <xf numFmtId="0" fontId="52" fillId="30" borderId="0" applyAlignment="0" applyProtection="0">
      <alignment horizontal="right" vertical="center"/>
      <protection locked="0"/>
    </xf>
    <xf numFmtId="0" fontId="52" fillId="30" borderId="0" applyAlignment="0" applyProtection="0">
      <alignment horizontal="right" vertical="center"/>
      <protection locked="0"/>
    </xf>
    <xf numFmtId="0" fontId="53" fillId="0" borderId="16" applyAlignment="0" applyProtection="0">
      <alignment horizontal="right" vertical="center"/>
      <protection locked="0"/>
    </xf>
    <xf numFmtId="0" fontId="54" fillId="0" borderId="0">
      <alignment horizontal="left"/>
      <protection locked="0"/>
    </xf>
    <xf numFmtId="0" fontId="30" fillId="0" borderId="17" applyNumberFormat="0" applyFill="0" applyAlignment="0" applyProtection="0"/>
    <xf numFmtId="0" fontId="31" fillId="0" borderId="17" applyNumberFormat="0" applyFill="0" applyAlignment="0" applyProtection="0"/>
    <xf numFmtId="0" fontId="55" fillId="0" borderId="18" applyNumberFormat="0" applyFill="0" applyAlignment="0" applyProtection="0"/>
    <xf numFmtId="0" fontId="56"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protection locked="0"/>
    </xf>
    <xf numFmtId="0" fontId="24" fillId="7" borderId="2" applyNumberFormat="0" applyAlignment="0" applyProtection="0"/>
    <xf numFmtId="172" fontId="28" fillId="24" borderId="1">
      <alignment horizontal="right" vertical="top"/>
      <protection locked="0"/>
    </xf>
    <xf numFmtId="173" fontId="28" fillId="24" borderId="1">
      <alignment horizontal="right" vertical="top"/>
      <protection locked="0"/>
    </xf>
    <xf numFmtId="174" fontId="10" fillId="24" borderId="1">
      <alignment horizontal="right" vertical="top"/>
      <protection locked="0"/>
    </xf>
    <xf numFmtId="177" fontId="28" fillId="24" borderId="1">
      <alignment horizontal="right" vertical="top"/>
      <protection locked="0"/>
    </xf>
    <xf numFmtId="174" fontId="28" fillId="24" borderId="1">
      <alignment horizontal="right" vertical="top"/>
      <protection locked="0"/>
    </xf>
    <xf numFmtId="175" fontId="28" fillId="24" borderId="1">
      <alignment horizontal="right" vertical="top"/>
      <protection locked="0"/>
    </xf>
    <xf numFmtId="10" fontId="28" fillId="24" borderId="1">
      <alignment horizontal="right" vertical="top"/>
      <protection locked="0"/>
    </xf>
    <xf numFmtId="176" fontId="28" fillId="24" borderId="1">
      <alignment horizontal="right" vertical="top"/>
      <protection locked="0"/>
    </xf>
    <xf numFmtId="49" fontId="28" fillId="24" borderId="1">
      <alignment horizontal="left" vertical="top"/>
      <protection locked="0"/>
    </xf>
    <xf numFmtId="0" fontId="32" fillId="0" borderId="5" applyNumberFormat="0" applyFill="0" applyAlignment="0" applyProtection="0"/>
    <xf numFmtId="0" fontId="38" fillId="0" borderId="0" applyAlignment="0"/>
    <xf numFmtId="0" fontId="39" fillId="25" borderId="0" applyNumberFormat="0" applyBorder="0" applyAlignment="0" applyProtection="0"/>
    <xf numFmtId="38" fontId="3" fillId="0" borderId="0"/>
    <xf numFmtId="0" fontId="10" fillId="0" borderId="0"/>
    <xf numFmtId="0" fontId="28" fillId="0" borderId="0">
      <protection locked="0"/>
    </xf>
    <xf numFmtId="0" fontId="3" fillId="0" borderId="0"/>
    <xf numFmtId="0" fontId="10" fillId="0" borderId="0"/>
    <xf numFmtId="0" fontId="58" fillId="0" borderId="0"/>
    <xf numFmtId="0" fontId="28" fillId="0" borderId="0">
      <protection locked="0"/>
    </xf>
    <xf numFmtId="0" fontId="18" fillId="0" borderId="0"/>
    <xf numFmtId="0" fontId="47" fillId="0" borderId="0"/>
    <xf numFmtId="0" fontId="28" fillId="0" borderId="0">
      <protection locked="0"/>
    </xf>
    <xf numFmtId="0" fontId="44" fillId="0" borderId="0"/>
    <xf numFmtId="0" fontId="59" fillId="0" borderId="0"/>
    <xf numFmtId="38" fontId="3" fillId="0" borderId="0"/>
    <xf numFmtId="0" fontId="28" fillId="26" borderId="6" applyNumberFormat="0" applyAlignment="0" applyProtection="0"/>
    <xf numFmtId="0" fontId="28" fillId="26" borderId="6" applyNumberFormat="0" applyAlignment="0" applyProtection="0"/>
    <xf numFmtId="0" fontId="26" fillId="20" borderId="7" applyNumberFormat="0" applyAlignment="0" applyProtection="0"/>
    <xf numFmtId="177" fontId="10" fillId="27" borderId="1">
      <alignment horizontal="right" vertical="top"/>
    </xf>
    <xf numFmtId="172" fontId="28" fillId="27" borderId="1">
      <alignment horizontal="right" vertical="top"/>
    </xf>
    <xf numFmtId="178" fontId="28" fillId="27" borderId="1">
      <alignment horizontal="right" vertical="top"/>
    </xf>
    <xf numFmtId="179" fontId="28" fillId="27" borderId="1">
      <alignment horizontal="right" vertical="top"/>
    </xf>
    <xf numFmtId="175" fontId="28" fillId="28" borderId="1">
      <alignment horizontal="right" vertical="top"/>
    </xf>
    <xf numFmtId="10" fontId="28" fillId="27" borderId="1">
      <alignment horizontal="right" vertical="top"/>
    </xf>
    <xf numFmtId="176" fontId="28" fillId="31" borderId="1">
      <alignment horizontal="right" vertical="top"/>
    </xf>
    <xf numFmtId="49" fontId="28" fillId="31" borderId="1">
      <alignment horizontal="left" vertical="top"/>
    </xf>
    <xf numFmtId="9" fontId="19" fillId="0" borderId="0" applyFont="0" applyFill="0" applyBorder="0" applyAlignment="0" applyProtection="0"/>
    <xf numFmtId="9" fontId="18"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9" fillId="0" borderId="0" applyFont="0" applyFill="0" applyBorder="0" applyAlignment="0" applyProtection="0"/>
    <xf numFmtId="1" fontId="28" fillId="0" borderId="8"/>
    <xf numFmtId="2" fontId="40" fillId="0" borderId="0"/>
    <xf numFmtId="0" fontId="28" fillId="0" borderId="19" applyNumberFormat="0" applyFont="0" applyAlignment="0">
      <protection locked="0"/>
    </xf>
    <xf numFmtId="0" fontId="60" fillId="0" borderId="0" applyFill="0" applyBorder="0" applyAlignment="0" applyProtection="0"/>
    <xf numFmtId="0" fontId="61" fillId="0" borderId="0">
      <protection locked="0"/>
    </xf>
    <xf numFmtId="0" fontId="62" fillId="0" borderId="0" applyNumberFormat="0" applyFill="0" applyBorder="0" applyAlignment="0" applyProtection="0"/>
    <xf numFmtId="0" fontId="63" fillId="0" borderId="0" applyNumberFormat="0" applyFill="0" applyBorder="0" applyAlignment="0" applyProtection="0"/>
    <xf numFmtId="0" fontId="64" fillId="30" borderId="0" applyAlignment="0" applyProtection="0">
      <alignment horizontal="right" vertical="center"/>
      <protection locked="0"/>
    </xf>
    <xf numFmtId="0" fontId="64" fillId="30" borderId="0" applyAlignment="0" applyProtection="0">
      <alignment horizontal="right" vertical="center"/>
      <protection locked="0"/>
    </xf>
    <xf numFmtId="0" fontId="65" fillId="30" borderId="0" applyAlignment="0" applyProtection="0">
      <alignment horizontal="right" vertical="center"/>
      <protection locked="0"/>
    </xf>
    <xf numFmtId="0" fontId="27" fillId="0" borderId="20" applyNumberFormat="0" applyFill="0" applyAlignment="0" applyProtection="0"/>
    <xf numFmtId="0" fontId="27" fillId="0" borderId="20" applyNumberFormat="0" applyFill="0" applyAlignment="0" applyProtection="0"/>
    <xf numFmtId="0" fontId="41" fillId="0" borderId="0">
      <alignment horizontal="center" vertical="center"/>
    </xf>
    <xf numFmtId="0" fontId="25" fillId="0" borderId="0" applyNumberFormat="0" applyFill="0" applyBorder="0" applyAlignment="0" applyProtection="0"/>
    <xf numFmtId="0" fontId="28" fillId="29" borderId="0" applyNumberFormat="0" applyBorder="0" applyAlignment="0" applyProtection="0"/>
    <xf numFmtId="0" fontId="24" fillId="7" borderId="162" applyNumberFormat="0" applyAlignment="0" applyProtection="0"/>
    <xf numFmtId="0" fontId="24" fillId="7" borderId="73" applyNumberFormat="0" applyAlignment="0" applyProtection="0"/>
    <xf numFmtId="0" fontId="24" fillId="7" borderId="135" applyNumberFormat="0" applyAlignment="0" applyProtection="0"/>
    <xf numFmtId="0" fontId="24" fillId="7" borderId="370" applyNumberFormat="0" applyAlignment="0" applyProtection="0"/>
    <xf numFmtId="0" fontId="44" fillId="0" borderId="0"/>
    <xf numFmtId="0" fontId="28" fillId="26" borderId="258" applyNumberFormat="0" applyAlignment="0" applyProtection="0"/>
    <xf numFmtId="0" fontId="26" fillId="20" borderId="279" applyNumberFormat="0" applyAlignment="0" applyProtection="0"/>
    <xf numFmtId="0" fontId="28" fillId="26" borderId="278" applyNumberFormat="0" applyAlignment="0" applyProtection="0"/>
    <xf numFmtId="0" fontId="24" fillId="7" borderId="148" applyNumberFormat="0" applyAlignment="0" applyProtection="0"/>
    <xf numFmtId="0" fontId="34" fillId="20" borderId="182" applyNumberFormat="0" applyAlignment="0" applyProtection="0"/>
    <xf numFmtId="164" fontId="95" fillId="37" borderId="140">
      <alignment horizontal="right" vertical="center"/>
    </xf>
    <xf numFmtId="0" fontId="28" fillId="26" borderId="137" applyNumberFormat="0" applyAlignment="0" applyProtection="0"/>
    <xf numFmtId="0" fontId="28" fillId="26" borderId="184" applyNumberFormat="0" applyAlignment="0" applyProtection="0"/>
    <xf numFmtId="0" fontId="24" fillId="7" borderId="276" applyNumberFormat="0" applyAlignment="0" applyProtection="0"/>
    <xf numFmtId="0" fontId="24" fillId="7" borderId="100" applyNumberFormat="0" applyAlignment="0" applyProtection="0"/>
    <xf numFmtId="0" fontId="28" fillId="26" borderId="372" applyNumberFormat="0" applyAlignment="0" applyProtection="0"/>
    <xf numFmtId="0" fontId="24" fillId="7" borderId="256" applyNumberFormat="0" applyAlignment="0" applyProtection="0"/>
    <xf numFmtId="0" fontId="24" fillId="7" borderId="182" applyNumberFormat="0" applyAlignment="0" applyProtection="0"/>
    <xf numFmtId="0" fontId="24" fillId="7" borderId="323" applyNumberFormat="0" applyAlignment="0" applyProtection="0"/>
    <xf numFmtId="0" fontId="26" fillId="20" borderId="292" applyNumberFormat="0" applyAlignment="0" applyProtection="0"/>
    <xf numFmtId="0" fontId="24" fillId="7" borderId="135" applyNumberFormat="0" applyAlignment="0" applyProtection="0"/>
    <xf numFmtId="0" fontId="24" fillId="7" borderId="323" applyNumberFormat="0" applyAlignment="0" applyProtection="0"/>
    <xf numFmtId="0" fontId="24" fillId="7" borderId="182" applyNumberFormat="0" applyAlignment="0" applyProtection="0"/>
    <xf numFmtId="0" fontId="24" fillId="7" borderId="242" applyNumberFormat="0" applyAlignment="0" applyProtection="0"/>
    <xf numFmtId="0" fontId="24" fillId="7" borderId="135" applyNumberFormat="0" applyAlignment="0" applyProtection="0"/>
    <xf numFmtId="0" fontId="24" fillId="7" borderId="135" applyNumberFormat="0" applyAlignment="0" applyProtection="0"/>
    <xf numFmtId="0" fontId="34" fillId="20" borderId="73" applyNumberFormat="0" applyAlignment="0" applyProtection="0"/>
    <xf numFmtId="0" fontId="24" fillId="7" borderId="182" applyNumberFormat="0" applyAlignment="0" applyProtection="0"/>
    <xf numFmtId="0" fontId="28" fillId="26" borderId="345" applyNumberFormat="0" applyAlignment="0" applyProtection="0"/>
    <xf numFmtId="0" fontId="34" fillId="20" borderId="357" applyNumberFormat="0" applyAlignment="0" applyProtection="0"/>
    <xf numFmtId="0" fontId="26" fillId="20" borderId="232" applyNumberFormat="0" applyAlignment="0" applyProtection="0"/>
    <xf numFmtId="0" fontId="49" fillId="23" borderId="324" applyFill="0">
      <alignment horizontal="center" vertical="center" wrapText="1"/>
    </xf>
    <xf numFmtId="0" fontId="24" fillId="7" borderId="410" applyNumberFormat="0" applyAlignment="0" applyProtection="0"/>
    <xf numFmtId="0" fontId="24" fillId="7" borderId="155" applyNumberFormat="0" applyAlignment="0" applyProtection="0"/>
    <xf numFmtId="0" fontId="26" fillId="20" borderId="185" applyNumberFormat="0" applyAlignment="0" applyProtection="0"/>
    <xf numFmtId="0" fontId="24" fillId="7" borderId="276" applyNumberFormat="0" applyAlignment="0" applyProtection="0"/>
    <xf numFmtId="0" fontId="24" fillId="7" borderId="229" applyNumberFormat="0" applyAlignment="0" applyProtection="0"/>
    <xf numFmtId="0" fontId="34" fillId="20" borderId="323" applyNumberFormat="0" applyAlignment="0" applyProtection="0"/>
    <xf numFmtId="0" fontId="28" fillId="26" borderId="271" applyNumberFormat="0" applyAlignment="0" applyProtection="0"/>
    <xf numFmtId="164" fontId="17" fillId="38" borderId="207">
      <alignment horizontal="left" vertical="center"/>
    </xf>
    <xf numFmtId="0" fontId="24" fillId="7" borderId="249" applyNumberFormat="0" applyAlignment="0" applyProtection="0"/>
    <xf numFmtId="0" fontId="44" fillId="0" borderId="0"/>
    <xf numFmtId="0" fontId="34" fillId="20" borderId="135" applyNumberFormat="0" applyAlignment="0" applyProtection="0"/>
    <xf numFmtId="164" fontId="95" fillId="37" borderId="234">
      <alignment horizontal="right" vertical="center"/>
    </xf>
    <xf numFmtId="0" fontId="24" fillId="7" borderId="135" applyNumberFormat="0" applyAlignment="0" applyProtection="0"/>
    <xf numFmtId="0" fontId="24" fillId="7" borderId="135" applyNumberFormat="0" applyAlignment="0" applyProtection="0"/>
    <xf numFmtId="0" fontId="27" fillId="0" borderId="152" applyNumberFormat="0" applyFill="0" applyAlignment="0" applyProtection="0"/>
    <xf numFmtId="0" fontId="26" fillId="20" borderId="76" applyNumberFormat="0" applyAlignment="0" applyProtection="0"/>
    <xf numFmtId="0" fontId="24" fillId="7" borderId="276" applyNumberFormat="0" applyAlignment="0" applyProtection="0"/>
    <xf numFmtId="0" fontId="24" fillId="7" borderId="135" applyNumberFormat="0" applyAlignment="0" applyProtection="0"/>
    <xf numFmtId="0" fontId="28" fillId="26" borderId="75" applyNumberFormat="0" applyAlignment="0" applyProtection="0"/>
    <xf numFmtId="0" fontId="24" fillId="7" borderId="52" applyNumberFormat="0" applyAlignment="0" applyProtection="0"/>
    <xf numFmtId="182" fontId="70" fillId="0" borderId="0" applyNumberFormat="0" applyFill="0" applyBorder="0" applyAlignment="0"/>
    <xf numFmtId="166" fontId="18" fillId="0" borderId="0" applyFont="0" applyFill="0" applyBorder="0" applyAlignment="0" applyProtection="0"/>
    <xf numFmtId="170" fontId="72" fillId="0" borderId="0" applyFont="0" applyFill="0" applyBorder="0" applyAlignment="0" applyProtection="0">
      <protection locked="0"/>
    </xf>
    <xf numFmtId="39" fontId="73" fillId="0" borderId="0" applyFont="0" applyFill="0" applyBorder="0" applyAlignment="0" applyProtection="0"/>
    <xf numFmtId="187" fontId="46" fillId="0" borderId="0" applyFont="0" applyFill="0" applyBorder="0" applyAlignment="0"/>
    <xf numFmtId="0" fontId="75" fillId="0" borderId="0"/>
    <xf numFmtId="0" fontId="76" fillId="0" borderId="0"/>
    <xf numFmtId="0" fontId="5" fillId="0" borderId="0"/>
    <xf numFmtId="0" fontId="77" fillId="0" borderId="0"/>
    <xf numFmtId="37" fontId="78" fillId="0" borderId="0" applyFill="0" applyBorder="0" applyAlignment="0">
      <protection locked="0"/>
    </xf>
    <xf numFmtId="180" fontId="78" fillId="0" borderId="12" applyFill="0" applyBorder="0" applyAlignment="0">
      <alignment horizontal="center"/>
      <protection locked="0"/>
    </xf>
    <xf numFmtId="170" fontId="78" fillId="0" borderId="0" applyFill="0" applyBorder="0" applyAlignment="0">
      <protection locked="0"/>
    </xf>
    <xf numFmtId="187" fontId="78" fillId="0" borderId="0" applyFill="0" applyBorder="0" applyAlignment="0" applyProtection="0">
      <protection locked="0"/>
    </xf>
    <xf numFmtId="188" fontId="18" fillId="0" borderId="0"/>
    <xf numFmtId="0" fontId="79" fillId="0" borderId="0"/>
    <xf numFmtId="181" fontId="71" fillId="0" borderId="0" applyFont="0" applyFill="0" applyBorder="0" applyAlignment="0" applyProtection="0"/>
    <xf numFmtId="182" fontId="74" fillId="0" borderId="0" applyFill="0" applyBorder="0" applyAlignment="0"/>
    <xf numFmtId="0" fontId="50" fillId="23" borderId="74" applyFill="0">
      <alignment horizontal="center" vertical="center" wrapText="1"/>
    </xf>
    <xf numFmtId="185" fontId="46" fillId="0" borderId="14" applyFont="0" applyFill="0" applyBorder="0" applyAlignment="0" applyProtection="0">
      <alignment horizontal="right"/>
    </xf>
    <xf numFmtId="184" fontId="80" fillId="0" borderId="0" applyFont="0" applyFill="0" applyBorder="0" applyAlignment="0" applyProtection="0"/>
    <xf numFmtId="183" fontId="80" fillId="0" borderId="0" applyFont="0" applyFill="0" applyBorder="0" applyAlignment="0" applyProtection="0"/>
    <xf numFmtId="0" fontId="10" fillId="0" borderId="0" applyNumberFormat="0" applyFill="0" applyBorder="0" applyAlignment="0" applyProtection="0"/>
    <xf numFmtId="0" fontId="12" fillId="1" borderId="30" applyNumberFormat="0" applyProtection="0">
      <alignment vertical="top" wrapText="1"/>
    </xf>
    <xf numFmtId="189" fontId="11" fillId="0" borderId="13" applyFill="0" applyProtection="0">
      <alignment horizontal="right" vertical="top"/>
    </xf>
    <xf numFmtId="38" fontId="81" fillId="0" borderId="0" applyFill="0" applyBorder="0" applyAlignment="0" applyProtection="0"/>
    <xf numFmtId="184" fontId="82" fillId="0" borderId="0" applyFill="0" applyBorder="0" applyAlignment="0" applyProtection="0"/>
    <xf numFmtId="18" fontId="72" fillId="0" borderId="0" applyFont="0" applyFill="0" applyBorder="0" applyAlignment="0" applyProtection="0">
      <alignment horizontal="left"/>
    </xf>
    <xf numFmtId="10" fontId="80" fillId="0" borderId="32" applyNumberFormat="0" applyFont="0" applyFill="0" applyAlignment="0" applyProtection="0"/>
    <xf numFmtId="186" fontId="14" fillId="0" borderId="31" applyFont="0" applyFill="0" applyBorder="0" applyAlignment="0" applyProtection="0"/>
    <xf numFmtId="0" fontId="3" fillId="0" borderId="0"/>
    <xf numFmtId="0" fontId="3" fillId="0" borderId="0"/>
    <xf numFmtId="0" fontId="10" fillId="0" borderId="0"/>
    <xf numFmtId="0" fontId="3"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9" fontId="10" fillId="0" borderId="0" applyFont="0" applyFill="0" applyBorder="0" applyAlignment="0" applyProtection="0"/>
    <xf numFmtId="0" fontId="10" fillId="0" borderId="0"/>
    <xf numFmtId="0" fontId="3" fillId="0" borderId="0"/>
    <xf numFmtId="0" fontId="10" fillId="0" borderId="0"/>
    <xf numFmtId="166" fontId="10" fillId="0" borderId="0" applyFont="0" applyFill="0" applyBorder="0" applyAlignment="0" applyProtection="0"/>
    <xf numFmtId="9" fontId="10" fillId="0" borderId="0" applyFont="0" applyFill="0" applyBorder="0" applyAlignment="0" applyProtection="0"/>
    <xf numFmtId="166" fontId="10" fillId="0" borderId="0" applyFont="0" applyFill="0" applyBorder="0" applyAlignment="0" applyProtection="0"/>
    <xf numFmtId="0" fontId="10" fillId="0" borderId="0"/>
    <xf numFmtId="0" fontId="3" fillId="0" borderId="0"/>
    <xf numFmtId="0" fontId="3" fillId="0" borderId="0"/>
    <xf numFmtId="190" fontId="10" fillId="0" borderId="0" applyFont="0" applyFill="0" applyBorder="0" applyAlignment="0" applyProtection="0"/>
    <xf numFmtId="0" fontId="10" fillId="0" borderId="0"/>
    <xf numFmtId="166" fontId="10" fillId="0" borderId="0" applyFont="0" applyFill="0" applyBorder="0" applyAlignment="0" applyProtection="0"/>
    <xf numFmtId="9" fontId="10" fillId="0" borderId="0" applyFont="0" applyFill="0" applyBorder="0" applyAlignment="0" applyProtection="0"/>
    <xf numFmtId="166" fontId="10" fillId="0" borderId="0" applyFont="0" applyFill="0" applyBorder="0" applyAlignment="0" applyProtection="0"/>
    <xf numFmtId="0" fontId="10" fillId="0" borderId="0"/>
    <xf numFmtId="0" fontId="3" fillId="0" borderId="0"/>
    <xf numFmtId="166" fontId="10" fillId="0" borderId="0" applyFont="0" applyFill="0" applyBorder="0" applyAlignment="0" applyProtection="0"/>
    <xf numFmtId="9" fontId="10" fillId="0" borderId="0" applyFont="0" applyFill="0" applyBorder="0" applyAlignment="0" applyProtection="0"/>
    <xf numFmtId="166" fontId="10" fillId="0" borderId="0" applyFont="0" applyFill="0" applyBorder="0" applyAlignment="0" applyProtection="0"/>
    <xf numFmtId="0" fontId="10" fillId="0" borderId="0"/>
    <xf numFmtId="166"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87" fontId="46" fillId="0" borderId="0" applyFont="0" applyFill="0" applyBorder="0" applyAlignment="0"/>
    <xf numFmtId="193" fontId="10" fillId="0" borderId="0" applyFont="0" applyFill="0" applyBorder="0" applyAlignment="0"/>
    <xf numFmtId="193" fontId="10" fillId="0" borderId="0" applyFill="0" applyBorder="0" applyAlignment="0" applyProtection="0">
      <protection locked="0"/>
    </xf>
    <xf numFmtId="194" fontId="10" fillId="0" borderId="0" applyFont="0" applyFill="0" applyBorder="0" applyAlignment="0" applyProtection="0"/>
    <xf numFmtId="195" fontId="10" fillId="0" borderId="0" applyFont="0" applyFill="0" applyBorder="0" applyAlignment="0" applyProtection="0"/>
    <xf numFmtId="0" fontId="10" fillId="26" borderId="6" applyNumberFormat="0" applyFont="0" applyAlignment="0" applyProtection="0"/>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85" fontId="46" fillId="0" borderId="14" applyFont="0" applyFill="0" applyBorder="0" applyAlignment="0" applyProtection="0">
      <alignment horizontal="right"/>
    </xf>
    <xf numFmtId="196" fontId="10"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6" fontId="10" fillId="0" borderId="0" applyFill="0" applyBorder="0" applyAlignment="0" applyProtection="0"/>
    <xf numFmtId="197" fontId="10" fillId="0" borderId="0" applyFill="0" applyBorder="0" applyAlignment="0" applyProtection="0"/>
    <xf numFmtId="0" fontId="10" fillId="0" borderId="31" applyFont="0" applyFill="0" applyBorder="0" applyAlignment="0" applyProtection="0"/>
    <xf numFmtId="170" fontId="10" fillId="0" borderId="31" applyFont="0" applyFill="0" applyBorder="0" applyAlignment="0" applyProtection="0"/>
    <xf numFmtId="0" fontId="3" fillId="0" borderId="0"/>
    <xf numFmtId="166" fontId="10" fillId="0" borderId="0" applyFont="0" applyFill="0" applyBorder="0" applyAlignment="0" applyProtection="0"/>
    <xf numFmtId="0" fontId="3" fillId="0" borderId="0"/>
    <xf numFmtId="0" fontId="10" fillId="0" borderId="0"/>
    <xf numFmtId="166" fontId="10" fillId="0" borderId="0" applyFont="0" applyFill="0" applyBorder="0" applyAlignment="0" applyProtection="0"/>
    <xf numFmtId="0" fontId="3" fillId="0" borderId="0"/>
    <xf numFmtId="0" fontId="10" fillId="0" borderId="0"/>
    <xf numFmtId="166" fontId="10" fillId="0" borderId="0" applyFont="0" applyFill="0" applyBorder="0" applyAlignment="0" applyProtection="0"/>
    <xf numFmtId="165" fontId="10" fillId="0" borderId="0" applyFont="0" applyFill="0" applyBorder="0" applyAlignment="0" applyProtection="0"/>
    <xf numFmtId="0" fontId="58" fillId="0" borderId="0"/>
    <xf numFmtId="9" fontId="58" fillId="0" borderId="0" applyFont="0" applyFill="0" applyBorder="0" applyAlignment="0" applyProtection="0"/>
    <xf numFmtId="0" fontId="3" fillId="0" borderId="0"/>
    <xf numFmtId="166" fontId="10" fillId="0" borderId="0" applyFont="0" applyFill="0" applyBorder="0" applyAlignment="0" applyProtection="0"/>
    <xf numFmtId="0" fontId="24" fillId="7" borderId="52" applyNumberFormat="0" applyAlignment="0" applyProtection="0"/>
    <xf numFmtId="0" fontId="83" fillId="34" borderId="0" applyNumberFormat="0" applyBorder="0" applyAlignment="0" applyProtection="0"/>
    <xf numFmtId="0" fontId="84" fillId="33" borderId="0" applyNumberFormat="0" applyBorder="0" applyAlignment="0" applyProtection="0"/>
    <xf numFmtId="0" fontId="3" fillId="0" borderId="0"/>
    <xf numFmtId="0" fontId="18" fillId="0" borderId="0"/>
    <xf numFmtId="0" fontId="3" fillId="0" borderId="0"/>
    <xf numFmtId="0" fontId="3" fillId="0" borderId="0"/>
    <xf numFmtId="0" fontId="10" fillId="0" borderId="0"/>
    <xf numFmtId="0" fontId="3" fillId="0" borderId="0"/>
    <xf numFmtId="0" fontId="10" fillId="0" borderId="0">
      <protection locked="0"/>
    </xf>
    <xf numFmtId="172" fontId="10" fillId="0" borderId="1">
      <alignment horizontal="right" vertical="top"/>
    </xf>
    <xf numFmtId="173" fontId="10" fillId="0" borderId="1">
      <alignment horizontal="right" vertical="top"/>
    </xf>
    <xf numFmtId="177" fontId="10" fillId="0" borderId="1">
      <alignment horizontal="right" vertical="top"/>
    </xf>
    <xf numFmtId="174" fontId="10" fillId="0" borderId="1">
      <alignment horizontal="right" vertical="top"/>
    </xf>
    <xf numFmtId="175" fontId="10" fillId="0" borderId="1">
      <alignment horizontal="right" vertical="top"/>
    </xf>
    <xf numFmtId="10" fontId="10" fillId="0" borderId="1">
      <alignment horizontal="right" vertical="top"/>
    </xf>
    <xf numFmtId="176" fontId="10" fillId="0" borderId="1">
      <alignment horizontal="right" vertical="top"/>
    </xf>
    <xf numFmtId="0" fontId="10" fillId="0" borderId="1">
      <alignment horizontal="left" vertical="top"/>
    </xf>
    <xf numFmtId="0" fontId="10" fillId="22" borderId="0" applyNumberFormat="0" applyFont="0" applyBorder="0" applyAlignment="0" applyProtection="0"/>
    <xf numFmtId="1" fontId="85" fillId="0" borderId="0" applyFill="0" applyBorder="0">
      <alignment horizontal="center" vertical="center"/>
    </xf>
    <xf numFmtId="172" fontId="29" fillId="0" borderId="1">
      <alignment horizontal="right" vertical="top"/>
    </xf>
    <xf numFmtId="173" fontId="29" fillId="0" borderId="1">
      <alignment vertical="center"/>
    </xf>
    <xf numFmtId="177" fontId="29" fillId="0" borderId="1">
      <alignment horizontal="right" vertical="top"/>
    </xf>
    <xf numFmtId="174" fontId="29" fillId="0" borderId="1">
      <alignment horizontal="right" vertical="top"/>
    </xf>
    <xf numFmtId="175" fontId="29" fillId="0" borderId="1">
      <alignment horizontal="right" vertical="top"/>
    </xf>
    <xf numFmtId="10" fontId="29" fillId="0" borderId="1">
      <alignment horizontal="right" vertical="top"/>
    </xf>
    <xf numFmtId="176" fontId="29" fillId="0" borderId="1">
      <alignment horizontal="right" vertical="top"/>
    </xf>
    <xf numFmtId="0" fontId="29" fillId="0" borderId="1">
      <alignment horizontal="left" vertical="top"/>
    </xf>
    <xf numFmtId="0" fontId="14" fillId="23" borderId="4" applyFill="0">
      <alignment horizontal="center" vertical="center" wrapText="1"/>
    </xf>
    <xf numFmtId="0" fontId="86" fillId="35" borderId="0" applyAlignment="0" applyProtection="0">
      <alignment horizontal="right" vertical="center"/>
      <protection locked="0"/>
    </xf>
    <xf numFmtId="0" fontId="87" fillId="0" borderId="16" applyAlignment="0" applyProtection="0">
      <alignment horizontal="right" vertical="center"/>
      <protection locked="0"/>
    </xf>
    <xf numFmtId="172" fontId="10" fillId="24" borderId="1">
      <alignment horizontal="right" vertical="top"/>
      <protection locked="0"/>
    </xf>
    <xf numFmtId="173" fontId="10" fillId="24" borderId="1">
      <alignment horizontal="right" vertical="top"/>
      <protection locked="0"/>
    </xf>
    <xf numFmtId="177" fontId="10" fillId="24" borderId="1">
      <alignment horizontal="right" vertical="top"/>
      <protection locked="0"/>
    </xf>
    <xf numFmtId="174" fontId="10" fillId="24" borderId="1">
      <alignment horizontal="right" vertical="top"/>
      <protection locked="0"/>
    </xf>
    <xf numFmtId="175" fontId="10" fillId="24" borderId="1">
      <alignment horizontal="right" vertical="top"/>
      <protection locked="0"/>
    </xf>
    <xf numFmtId="10" fontId="10" fillId="24" borderId="1">
      <alignment horizontal="right" vertical="top"/>
      <protection locked="0"/>
    </xf>
    <xf numFmtId="176" fontId="10" fillId="24" borderId="1">
      <alignment horizontal="right" vertical="top"/>
      <protection locked="0"/>
    </xf>
    <xf numFmtId="49" fontId="10" fillId="24" borderId="1">
      <alignment horizontal="left" vertical="top"/>
      <protection locked="0"/>
    </xf>
    <xf numFmtId="0" fontId="43" fillId="0" borderId="0" applyAlignment="0"/>
    <xf numFmtId="172" fontId="10" fillId="27" borderId="1">
      <alignment horizontal="right" vertical="top"/>
    </xf>
    <xf numFmtId="175" fontId="10" fillId="28" borderId="1">
      <alignment horizontal="right" vertical="top"/>
    </xf>
    <xf numFmtId="10" fontId="10" fillId="27" borderId="1">
      <alignment horizontal="right" vertical="top"/>
    </xf>
    <xf numFmtId="176" fontId="10" fillId="31" borderId="1">
      <alignment horizontal="right" vertical="top"/>
    </xf>
    <xf numFmtId="49" fontId="10" fillId="31" borderId="1">
      <alignment horizontal="left" vertical="top"/>
    </xf>
    <xf numFmtId="1" fontId="10" fillId="0" borderId="8"/>
    <xf numFmtId="2" fontId="14" fillId="0" borderId="0"/>
    <xf numFmtId="0" fontId="88" fillId="0" borderId="0" applyFill="0" applyBorder="0" applyAlignment="0" applyProtection="0"/>
    <xf numFmtId="0" fontId="89" fillId="35" borderId="0" applyAlignment="0" applyProtection="0">
      <alignment horizontal="right" vertical="center"/>
      <protection locked="0"/>
    </xf>
    <xf numFmtId="0" fontId="42" fillId="0" borderId="0">
      <alignment horizontal="center" vertical="center"/>
    </xf>
    <xf numFmtId="0" fontId="10" fillId="29" borderId="0" applyNumberFormat="0" applyFont="0" applyBorder="0" applyAlignment="0" applyProtection="0"/>
    <xf numFmtId="0" fontId="3" fillId="0" borderId="0"/>
    <xf numFmtId="0" fontId="24" fillId="7" borderId="52" applyNumberFormat="0" applyAlignment="0" applyProtection="0"/>
    <xf numFmtId="0" fontId="24" fillId="7" borderId="52" applyNumberFormat="0" applyAlignment="0" applyProtection="0"/>
    <xf numFmtId="0" fontId="24" fillId="7" borderId="66" applyNumberFormat="0" applyAlignment="0" applyProtection="0"/>
    <xf numFmtId="164" fontId="95" fillId="37" borderId="44">
      <alignment horizontal="right" vertical="center"/>
    </xf>
    <xf numFmtId="0" fontId="27" fillId="0" borderId="56" applyNumberFormat="0" applyFill="0" applyAlignment="0" applyProtection="0"/>
    <xf numFmtId="186" fontId="14" fillId="0" borderId="38" applyFont="0" applyFill="0" applyBorder="0" applyAlignment="0" applyProtection="0"/>
    <xf numFmtId="0" fontId="24" fillId="7" borderId="59" applyNumberFormat="0" applyAlignment="0" applyProtection="0"/>
    <xf numFmtId="0" fontId="24" fillId="7" borderId="79" applyNumberFormat="0" applyAlignment="0" applyProtection="0"/>
    <xf numFmtId="0" fontId="24" fillId="7" borderId="66" applyNumberFormat="0" applyAlignment="0" applyProtection="0"/>
    <xf numFmtId="0" fontId="24" fillId="7" borderId="59" applyNumberFormat="0" applyAlignment="0" applyProtection="0"/>
    <xf numFmtId="0" fontId="26" fillId="20" borderId="55" applyNumberFormat="0" applyAlignment="0" applyProtection="0"/>
    <xf numFmtId="0" fontId="90" fillId="3" borderId="0" applyNumberFormat="0" applyBorder="0" applyAlignment="0" applyProtection="0"/>
    <xf numFmtId="0" fontId="24" fillId="7" borderId="59" applyNumberFormat="0" applyAlignment="0" applyProtection="0"/>
    <xf numFmtId="0" fontId="91" fillId="0" borderId="0" applyNumberFormat="0" applyFill="0" applyBorder="0" applyAlignment="0" applyProtection="0"/>
    <xf numFmtId="0" fontId="30" fillId="0" borderId="33" applyNumberFormat="0" applyFill="0" applyAlignment="0" applyProtection="0"/>
    <xf numFmtId="0" fontId="31" fillId="0" borderId="34" applyNumberFormat="0" applyFill="0" applyAlignment="0" applyProtection="0"/>
    <xf numFmtId="0" fontId="92" fillId="0" borderId="35" applyNumberFormat="0" applyFill="0" applyAlignment="0" applyProtection="0"/>
    <xf numFmtId="0" fontId="92" fillId="0" borderId="0" applyNumberFormat="0" applyFill="0" applyBorder="0" applyAlignment="0" applyProtection="0"/>
    <xf numFmtId="0" fontId="24" fillId="7" borderId="2" applyNumberFormat="0" applyAlignment="0" applyProtection="0"/>
    <xf numFmtId="0" fontId="24" fillId="7" borderId="2" applyNumberFormat="0" applyAlignment="0" applyProtection="0"/>
    <xf numFmtId="0" fontId="24" fillId="7" borderId="52" applyNumberFormat="0" applyAlignment="0" applyProtection="0"/>
    <xf numFmtId="0" fontId="93" fillId="25" borderId="0" applyNumberFormat="0" applyBorder="0" applyAlignment="0" applyProtection="0"/>
    <xf numFmtId="0" fontId="94" fillId="0" borderId="0" applyNumberFormat="0" applyFill="0" applyBorder="0" applyAlignment="0" applyProtection="0"/>
    <xf numFmtId="0" fontId="27" fillId="0" borderId="36" applyNumberFormat="0" applyFill="0" applyAlignment="0" applyProtection="0"/>
    <xf numFmtId="0" fontId="28" fillId="26" borderId="61" applyNumberFormat="0" applyAlignment="0" applyProtection="0"/>
    <xf numFmtId="164" fontId="17" fillId="36" borderId="37">
      <alignment horizontal="center" vertical="center"/>
    </xf>
    <xf numFmtId="37" fontId="78" fillId="0" borderId="0" applyFill="0" applyBorder="0" applyAlignment="0">
      <protection locked="0"/>
    </xf>
    <xf numFmtId="0" fontId="34" fillId="20" borderId="73" applyNumberFormat="0" applyAlignment="0" applyProtection="0"/>
    <xf numFmtId="164" fontId="95" fillId="37" borderId="15">
      <alignment horizontal="right" vertical="center"/>
    </xf>
    <xf numFmtId="172" fontId="10" fillId="27" borderId="1">
      <alignment horizontal="right" vertical="top"/>
    </xf>
    <xf numFmtId="177" fontId="10" fillId="27" borderId="1">
      <alignment horizontal="right" vertical="top"/>
    </xf>
    <xf numFmtId="175" fontId="10" fillId="28" borderId="1">
      <alignment horizontal="right" vertical="top"/>
    </xf>
    <xf numFmtId="10" fontId="10" fillId="27" borderId="1">
      <alignment horizontal="right" vertical="top"/>
    </xf>
    <xf numFmtId="176" fontId="10" fillId="31" borderId="1">
      <alignment horizontal="right" vertical="top"/>
    </xf>
    <xf numFmtId="49" fontId="10" fillId="31" borderId="1">
      <alignment horizontal="left" vertical="top"/>
    </xf>
    <xf numFmtId="164" fontId="17" fillId="38" borderId="15">
      <alignment horizontal="left" vertical="center"/>
    </xf>
    <xf numFmtId="166" fontId="10" fillId="0" borderId="0" applyFont="0" applyFill="0" applyBorder="0" applyAlignment="0" applyProtection="0"/>
    <xf numFmtId="0" fontId="24" fillId="7" borderId="370" applyNumberFormat="0" applyAlignment="0" applyProtection="0"/>
    <xf numFmtId="0" fontId="28" fillId="26" borderId="68" applyNumberFormat="0" applyAlignment="0" applyProtection="0"/>
    <xf numFmtId="0" fontId="10" fillId="0" borderId="0">
      <protection locked="0"/>
    </xf>
    <xf numFmtId="0" fontId="24" fillId="7" borderId="52" applyNumberFormat="0" applyAlignment="0" applyProtection="0"/>
    <xf numFmtId="176" fontId="36" fillId="0" borderId="1">
      <alignment horizontal="right" vertical="top"/>
    </xf>
    <xf numFmtId="172" fontId="28" fillId="24" borderId="1">
      <alignment horizontal="right" vertical="top"/>
      <protection locked="0"/>
    </xf>
    <xf numFmtId="0" fontId="62" fillId="0" borderId="0" applyNumberFormat="0" applyFill="0" applyBorder="0" applyAlignment="0" applyProtection="0"/>
    <xf numFmtId="0" fontId="30" fillId="0" borderId="17" applyNumberFormat="0" applyFill="0" applyAlignment="0" applyProtection="0"/>
    <xf numFmtId="0" fontId="31" fillId="0" borderId="17" applyNumberFormat="0" applyFill="0" applyAlignment="0" applyProtection="0"/>
    <xf numFmtId="0" fontId="55" fillId="0" borderId="18" applyNumberFormat="0" applyFill="0" applyAlignment="0" applyProtection="0"/>
    <xf numFmtId="0" fontId="37" fillId="4" borderId="0" applyNumberFormat="0" applyBorder="0" applyAlignment="0" applyProtection="0"/>
    <xf numFmtId="0" fontId="33" fillId="3" borderId="0" applyNumberFormat="0" applyBorder="0" applyAlignment="0" applyProtection="0"/>
    <xf numFmtId="0" fontId="39" fillId="25" borderId="0" applyNumberFormat="0" applyBorder="0" applyAlignment="0" applyProtection="0"/>
    <xf numFmtId="0" fontId="24" fillId="7" borderId="39" applyNumberFormat="0" applyAlignment="0" applyProtection="0"/>
    <xf numFmtId="0" fontId="26" fillId="20" borderId="42" applyNumberFormat="0" applyAlignment="0" applyProtection="0"/>
    <xf numFmtId="0" fontId="28" fillId="26" borderId="41" applyNumberFormat="0" applyAlignment="0" applyProtection="0"/>
    <xf numFmtId="9" fontId="18" fillId="0" borderId="0" applyFont="0" applyFill="0" applyBorder="0" applyAlignment="0" applyProtection="0"/>
    <xf numFmtId="0" fontId="28" fillId="26" borderId="41" applyNumberFormat="0" applyAlignment="0" applyProtection="0"/>
    <xf numFmtId="0" fontId="22" fillId="13" borderId="0" applyNumberFormat="0" applyBorder="0" applyAlignment="0" applyProtection="0"/>
    <xf numFmtId="0" fontId="26" fillId="20" borderId="42" applyNumberFormat="0" applyAlignment="0" applyProtection="0"/>
    <xf numFmtId="172" fontId="28" fillId="0" borderId="1">
      <alignment horizontal="right" vertical="top"/>
    </xf>
    <xf numFmtId="173" fontId="28" fillId="0" borderId="1">
      <alignment horizontal="right" vertical="top"/>
    </xf>
    <xf numFmtId="0" fontId="24" fillId="7" borderId="39" applyNumberFormat="0" applyAlignment="0" applyProtection="0"/>
    <xf numFmtId="175" fontId="28" fillId="0" borderId="1">
      <alignment horizontal="right" vertical="top"/>
    </xf>
    <xf numFmtId="10" fontId="28" fillId="0" borderId="1">
      <alignment horizontal="right" vertical="top"/>
    </xf>
    <xf numFmtId="176" fontId="28" fillId="0" borderId="1">
      <alignment horizontal="right" vertical="top"/>
    </xf>
    <xf numFmtId="0" fontId="28" fillId="0" borderId="1">
      <alignment horizontal="left" vertical="top"/>
    </xf>
    <xf numFmtId="0" fontId="28" fillId="22" borderId="0" applyNumberFormat="0" applyBorder="0" applyAlignment="0" applyProtection="0"/>
    <xf numFmtId="1" fontId="35" fillId="0" borderId="0" applyFill="0" applyBorder="0">
      <alignment horizontal="center" vertical="center"/>
    </xf>
    <xf numFmtId="172" fontId="36" fillId="0" borderId="1">
      <alignment horizontal="right" vertical="top"/>
    </xf>
    <xf numFmtId="173" fontId="36" fillId="0" borderId="1">
      <alignment vertical="center"/>
    </xf>
    <xf numFmtId="175" fontId="36" fillId="0" borderId="1">
      <alignment horizontal="right" vertical="top"/>
    </xf>
    <xf numFmtId="10" fontId="36" fillId="0" borderId="1">
      <alignment horizontal="right" vertical="top"/>
    </xf>
    <xf numFmtId="0" fontId="36" fillId="0" borderId="1">
      <alignment horizontal="left" vertical="top"/>
    </xf>
    <xf numFmtId="0" fontId="50" fillId="23" borderId="40" applyFill="0">
      <alignment horizontal="center" vertical="center" wrapText="1"/>
    </xf>
    <xf numFmtId="0" fontId="24" fillId="7" borderId="336" applyNumberFormat="0" applyAlignment="0" applyProtection="0"/>
    <xf numFmtId="173" fontId="28" fillId="24" borderId="1">
      <alignment horizontal="right" vertical="top"/>
      <protection locked="0"/>
    </xf>
    <xf numFmtId="175" fontId="28" fillId="24" borderId="1">
      <alignment horizontal="right" vertical="top"/>
      <protection locked="0"/>
    </xf>
    <xf numFmtId="10" fontId="28" fillId="24" borderId="1">
      <alignment horizontal="right" vertical="top"/>
      <protection locked="0"/>
    </xf>
    <xf numFmtId="176" fontId="28" fillId="24" borderId="1">
      <alignment horizontal="right" vertical="top"/>
      <protection locked="0"/>
    </xf>
    <xf numFmtId="49" fontId="28" fillId="24" borderId="1">
      <alignment horizontal="left" vertical="top"/>
      <protection locked="0"/>
    </xf>
    <xf numFmtId="0" fontId="38" fillId="0" borderId="0" applyAlignment="0"/>
    <xf numFmtId="1" fontId="28" fillId="0" borderId="8"/>
    <xf numFmtId="2" fontId="40" fillId="0" borderId="0"/>
    <xf numFmtId="0" fontId="41" fillId="0" borderId="0">
      <alignment horizontal="center" vertical="center"/>
    </xf>
    <xf numFmtId="0" fontId="28" fillId="29" borderId="0" applyNumberFormat="0" applyBorder="0" applyAlignment="0" applyProtection="0"/>
    <xf numFmtId="9" fontId="10" fillId="0" borderId="0" applyFont="0" applyFill="0" applyBorder="0" applyAlignment="0" applyProtection="0"/>
    <xf numFmtId="177" fontId="28" fillId="0" borderId="1">
      <alignment horizontal="right" vertical="top"/>
    </xf>
    <xf numFmtId="174" fontId="28" fillId="0" borderId="1">
      <alignment horizontal="right" vertical="top"/>
    </xf>
    <xf numFmtId="177" fontId="36" fillId="0" borderId="1">
      <alignment horizontal="right" vertical="top"/>
    </xf>
    <xf numFmtId="174" fontId="36" fillId="0" borderId="1">
      <alignment horizontal="right" vertical="top"/>
    </xf>
    <xf numFmtId="0" fontId="53" fillId="0" borderId="16" applyAlignment="0" applyProtection="0">
      <alignment horizontal="right" vertical="center"/>
      <protection locked="0"/>
    </xf>
    <xf numFmtId="177" fontId="28" fillId="24" borderId="1">
      <alignment horizontal="right" vertical="top"/>
      <protection locked="0"/>
    </xf>
    <xf numFmtId="174" fontId="28" fillId="24" borderId="1">
      <alignment horizontal="right" vertical="top"/>
      <protection locked="0"/>
    </xf>
    <xf numFmtId="172" fontId="28" fillId="27" borderId="1">
      <alignment horizontal="right" vertical="top"/>
    </xf>
    <xf numFmtId="175" fontId="28" fillId="28" borderId="1">
      <alignment horizontal="right" vertical="top"/>
    </xf>
    <xf numFmtId="10" fontId="28" fillId="27" borderId="1">
      <alignment horizontal="right" vertical="top"/>
    </xf>
    <xf numFmtId="176" fontId="28" fillId="31" borderId="1">
      <alignment horizontal="right" vertical="top"/>
    </xf>
    <xf numFmtId="49" fontId="28" fillId="31" borderId="1">
      <alignment horizontal="left" vertical="top"/>
    </xf>
    <xf numFmtId="0" fontId="60" fillId="0" borderId="0" applyFill="0" applyBorder="0" applyAlignment="0" applyProtection="0"/>
    <xf numFmtId="0" fontId="65" fillId="30" borderId="0" applyAlignment="0" applyProtection="0">
      <alignment horizontal="right" vertical="center"/>
      <protection locked="0"/>
    </xf>
    <xf numFmtId="0" fontId="34" fillId="20" borderId="39" applyNumberFormat="0" applyAlignment="0" applyProtection="0"/>
    <xf numFmtId="9" fontId="10" fillId="0" borderId="0" applyFont="0" applyFill="0" applyBorder="0" applyAlignment="0" applyProtection="0"/>
    <xf numFmtId="0" fontId="50" fillId="23" borderId="40" applyFill="0">
      <alignment horizontal="center" vertical="center" wrapText="1"/>
    </xf>
    <xf numFmtId="9" fontId="10" fillId="0" borderId="0" applyFont="0" applyFill="0" applyBorder="0" applyAlignment="0" applyProtection="0"/>
    <xf numFmtId="0" fontId="24" fillId="7" borderId="39" applyNumberFormat="0" applyAlignment="0" applyProtection="0"/>
    <xf numFmtId="0" fontId="34" fillId="20" borderId="39" applyNumberFormat="0" applyAlignment="0" applyProtection="0"/>
    <xf numFmtId="0" fontId="24" fillId="7" borderId="135" applyNumberFormat="0" applyAlignment="0" applyProtection="0"/>
    <xf numFmtId="0" fontId="24" fillId="7" borderId="182" applyNumberFormat="0" applyAlignment="0" applyProtection="0"/>
    <xf numFmtId="0" fontId="34" fillId="20" borderId="310" applyNumberFormat="0" applyAlignment="0" applyProtection="0"/>
    <xf numFmtId="0" fontId="63" fillId="0" borderId="0" applyNumberFormat="0" applyFill="0" applyBorder="0" applyAlignment="0" applyProtection="0"/>
    <xf numFmtId="9" fontId="18" fillId="0" borderId="0" applyFont="0" applyFill="0" applyBorder="0" applyAlignment="0" applyProtection="0"/>
    <xf numFmtId="0" fontId="50" fillId="23" borderId="136" applyFill="0">
      <alignment horizontal="center" vertical="center" wrapText="1"/>
    </xf>
    <xf numFmtId="0" fontId="49" fillId="23" borderId="40" applyFill="0">
      <alignment horizontal="center" vertical="center" wrapText="1"/>
    </xf>
    <xf numFmtId="0" fontId="51" fillId="30" borderId="0" applyAlignment="0" applyProtection="0">
      <alignment horizontal="right" vertical="center"/>
      <protection locked="0"/>
    </xf>
    <xf numFmtId="9" fontId="10" fillId="0" borderId="0" applyFont="0" applyFill="0" applyBorder="0" applyAlignment="0" applyProtection="0"/>
    <xf numFmtId="0" fontId="64" fillId="30" borderId="0" applyAlignment="0" applyProtection="0">
      <alignment horizontal="right" vertical="center"/>
      <protection locked="0"/>
    </xf>
    <xf numFmtId="0" fontId="24" fillId="7" borderId="39" applyNumberFormat="0" applyAlignment="0" applyProtection="0"/>
    <xf numFmtId="174" fontId="28" fillId="0" borderId="1">
      <alignment horizontal="right" vertical="top"/>
    </xf>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9" fontId="10" fillId="0" borderId="0" applyFont="0" applyFill="0" applyBorder="0" applyAlignment="0" applyProtection="0"/>
    <xf numFmtId="0" fontId="24" fillId="7" borderId="39" applyNumberFormat="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24" fillId="7" borderId="39" applyNumberFormat="0" applyAlignment="0" applyProtection="0"/>
    <xf numFmtId="0" fontId="24" fillId="7" borderId="39" applyNumberFormat="0" applyAlignment="0" applyProtection="0"/>
    <xf numFmtId="0" fontId="24" fillId="7" borderId="229"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2" fontId="28" fillId="0" borderId="1">
      <alignment horizontal="right" vertical="top"/>
    </xf>
    <xf numFmtId="173" fontId="28" fillId="0" borderId="1">
      <alignment horizontal="right" vertical="top"/>
    </xf>
    <xf numFmtId="177" fontId="28" fillId="0" borderId="1">
      <alignment horizontal="right" vertical="top"/>
    </xf>
    <xf numFmtId="174" fontId="28" fillId="0" borderId="1">
      <alignment horizontal="right" vertical="top"/>
    </xf>
    <xf numFmtId="175" fontId="28" fillId="0" borderId="1">
      <alignment horizontal="right" vertical="top"/>
    </xf>
    <xf numFmtId="10" fontId="28" fillId="0" borderId="1">
      <alignment horizontal="right" vertical="top"/>
    </xf>
    <xf numFmtId="176" fontId="28" fillId="0" borderId="1">
      <alignment horizontal="right" vertical="top"/>
    </xf>
    <xf numFmtId="0" fontId="28" fillId="0" borderId="1">
      <alignment horizontal="left" vertical="top"/>
    </xf>
    <xf numFmtId="0" fontId="28" fillId="22" borderId="0" applyNumberFormat="0" applyBorder="0" applyAlignment="0" applyProtection="0"/>
    <xf numFmtId="1" fontId="35" fillId="0" borderId="0" applyFill="0" applyBorder="0">
      <alignment horizontal="center" vertical="center"/>
    </xf>
    <xf numFmtId="172" fontId="36" fillId="0" borderId="1">
      <alignment horizontal="right" vertical="top"/>
    </xf>
    <xf numFmtId="173" fontId="36" fillId="0" borderId="1">
      <alignment vertical="center"/>
    </xf>
    <xf numFmtId="177" fontId="36" fillId="0" borderId="1">
      <alignment horizontal="right" vertical="top"/>
    </xf>
    <xf numFmtId="174" fontId="36" fillId="0" borderId="1">
      <alignment horizontal="right" vertical="top"/>
    </xf>
    <xf numFmtId="175" fontId="36" fillId="0" borderId="1">
      <alignment horizontal="right" vertical="top"/>
    </xf>
    <xf numFmtId="10" fontId="36" fillId="0" borderId="1">
      <alignment horizontal="right" vertical="top"/>
    </xf>
    <xf numFmtId="176" fontId="36" fillId="0" borderId="1">
      <alignment horizontal="right" vertical="top"/>
    </xf>
    <xf numFmtId="0" fontId="36" fillId="0" borderId="1">
      <alignment horizontal="left" vertical="top"/>
    </xf>
    <xf numFmtId="0" fontId="50" fillId="23" borderId="40" applyFill="0">
      <alignment horizontal="center" vertical="center" wrapText="1"/>
    </xf>
    <xf numFmtId="0" fontId="52" fillId="30" borderId="0" applyAlignment="0" applyProtection="0">
      <alignment horizontal="right" vertical="center"/>
      <protection locked="0"/>
    </xf>
    <xf numFmtId="0" fontId="53" fillId="0" borderId="16" applyAlignment="0" applyProtection="0">
      <alignment horizontal="right" vertical="center"/>
      <protection locked="0"/>
    </xf>
    <xf numFmtId="172" fontId="28" fillId="24" borderId="1">
      <alignment horizontal="right" vertical="top"/>
      <protection locked="0"/>
    </xf>
    <xf numFmtId="173" fontId="28" fillId="24" borderId="1">
      <alignment horizontal="right" vertical="top"/>
      <protection locked="0"/>
    </xf>
    <xf numFmtId="177" fontId="28" fillId="24" borderId="1">
      <alignment horizontal="right" vertical="top"/>
      <protection locked="0"/>
    </xf>
    <xf numFmtId="174" fontId="28" fillId="24" borderId="1">
      <alignment horizontal="right" vertical="top"/>
      <protection locked="0"/>
    </xf>
    <xf numFmtId="175" fontId="28" fillId="24" borderId="1">
      <alignment horizontal="right" vertical="top"/>
      <protection locked="0"/>
    </xf>
    <xf numFmtId="10" fontId="28" fillId="24" borderId="1">
      <alignment horizontal="right" vertical="top"/>
      <protection locked="0"/>
    </xf>
    <xf numFmtId="176" fontId="28" fillId="24" borderId="1">
      <alignment horizontal="right" vertical="top"/>
      <protection locked="0"/>
    </xf>
    <xf numFmtId="49" fontId="28" fillId="24" borderId="1">
      <alignment horizontal="left" vertical="top"/>
      <protection locked="0"/>
    </xf>
    <xf numFmtId="0" fontId="38" fillId="0" borderId="0" applyAlignment="0"/>
    <xf numFmtId="0" fontId="2" fillId="0" borderId="0"/>
    <xf numFmtId="0" fontId="58" fillId="0" borderId="0"/>
    <xf numFmtId="172" fontId="28" fillId="27" borderId="1">
      <alignment horizontal="right" vertical="top"/>
    </xf>
    <xf numFmtId="175" fontId="28" fillId="28" borderId="1">
      <alignment horizontal="right" vertical="top"/>
    </xf>
    <xf numFmtId="10" fontId="28" fillId="27" borderId="1">
      <alignment horizontal="right" vertical="top"/>
    </xf>
    <xf numFmtId="176" fontId="28" fillId="31" borderId="1">
      <alignment horizontal="right" vertical="top"/>
    </xf>
    <xf numFmtId="49" fontId="28" fillId="31" borderId="1">
      <alignment horizontal="left" vertical="top"/>
    </xf>
    <xf numFmtId="1" fontId="28" fillId="0" borderId="8"/>
    <xf numFmtId="2" fontId="40" fillId="0" borderId="0"/>
    <xf numFmtId="0" fontId="60" fillId="0" borderId="0" applyFill="0" applyBorder="0" applyAlignment="0" applyProtection="0"/>
    <xf numFmtId="0" fontId="65" fillId="30" borderId="0" applyAlignment="0" applyProtection="0">
      <alignment horizontal="right" vertical="center"/>
      <protection locked="0"/>
    </xf>
    <xf numFmtId="0" fontId="41" fillId="0" borderId="0">
      <alignment horizontal="center" vertical="center"/>
    </xf>
    <xf numFmtId="0" fontId="28" fillId="29" borderId="0" applyNumberFormat="0" applyBorder="0" applyAlignment="0" applyProtection="0"/>
    <xf numFmtId="0" fontId="24" fillId="7" borderId="52" applyNumberFormat="0" applyAlignment="0" applyProtection="0"/>
    <xf numFmtId="0" fontId="24" fillId="7" borderId="52" applyNumberFormat="0" applyAlignment="0" applyProtection="0"/>
    <xf numFmtId="0" fontId="24" fillId="7" borderId="66" applyNumberFormat="0" applyAlignment="0" applyProtection="0"/>
    <xf numFmtId="0" fontId="24" fillId="7" borderId="79" applyNumberFormat="0" applyAlignment="0" applyProtection="0"/>
    <xf numFmtId="0" fontId="24" fillId="7" borderId="52" applyNumberFormat="0" applyAlignment="0" applyProtection="0"/>
    <xf numFmtId="0" fontId="28" fillId="26" borderId="81" applyNumberFormat="0" applyAlignment="0" applyProtection="0"/>
    <xf numFmtId="0" fontId="24" fillId="7" borderId="52" applyNumberFormat="0" applyAlignment="0" applyProtection="0"/>
    <xf numFmtId="0" fontId="24" fillId="7" borderId="59" applyNumberFormat="0" applyAlignment="0" applyProtection="0"/>
    <xf numFmtId="0" fontId="24" fillId="7" borderId="52" applyNumberFormat="0" applyAlignment="0" applyProtection="0"/>
    <xf numFmtId="0" fontId="24" fillId="7" borderId="52" applyNumberFormat="0" applyAlignment="0" applyProtection="0"/>
    <xf numFmtId="0" fontId="24" fillId="7" borderId="73" applyNumberFormat="0" applyAlignment="0" applyProtection="0"/>
    <xf numFmtId="0" fontId="49" fillId="23" borderId="67" applyFill="0">
      <alignment horizontal="center" vertical="center" wrapText="1"/>
    </xf>
    <xf numFmtId="0" fontId="24" fillId="7" borderId="79" applyNumberFormat="0" applyAlignment="0" applyProtection="0"/>
    <xf numFmtId="0" fontId="24" fillId="7" borderId="79" applyNumberFormat="0" applyAlignment="0" applyProtection="0"/>
    <xf numFmtId="0" fontId="24" fillId="7" borderId="52" applyNumberFormat="0" applyAlignment="0" applyProtection="0"/>
    <xf numFmtId="164" fontId="17" fillId="38" borderId="71">
      <alignment horizontal="left" vertical="center"/>
    </xf>
    <xf numFmtId="0" fontId="34" fillId="20" borderId="79" applyNumberFormat="0" applyAlignment="0" applyProtection="0"/>
    <xf numFmtId="0" fontId="28" fillId="26" borderId="54" applyNumberFormat="0" applyAlignment="0" applyProtection="0"/>
    <xf numFmtId="0" fontId="10" fillId="26" borderId="41" applyNumberFormat="0" applyFont="0" applyAlignment="0" applyProtection="0"/>
    <xf numFmtId="0" fontId="24" fillId="7" borderId="73" applyNumberFormat="0" applyAlignment="0" applyProtection="0"/>
    <xf numFmtId="0" fontId="24" fillId="7" borderId="73" applyNumberFormat="0" applyAlignment="0" applyProtection="0"/>
    <xf numFmtId="37" fontId="78" fillId="0" borderId="0" applyFill="0" applyBorder="0" applyAlignment="0">
      <protection locked="0"/>
    </xf>
    <xf numFmtId="186" fontId="14" fillId="0" borderId="65" applyFont="0" applyFill="0" applyBorder="0" applyAlignment="0" applyProtection="0"/>
    <xf numFmtId="0" fontId="24" fillId="7" borderId="59" applyNumberFormat="0" applyAlignment="0" applyProtection="0"/>
    <xf numFmtId="0" fontId="24" fillId="7" borderId="59" applyNumberFormat="0" applyAlignment="0" applyProtection="0"/>
    <xf numFmtId="0" fontId="14" fillId="23" borderId="47" applyFill="0">
      <alignment horizontal="center" vertical="center" wrapText="1"/>
    </xf>
    <xf numFmtId="0" fontId="24" fillId="7" borderId="79" applyNumberFormat="0" applyAlignment="0" applyProtection="0"/>
    <xf numFmtId="0" fontId="24" fillId="7" borderId="79" applyNumberFormat="0" applyAlignment="0" applyProtection="0"/>
    <xf numFmtId="0" fontId="10" fillId="0" borderId="38" applyFont="0" applyFill="0" applyBorder="0" applyAlignment="0" applyProtection="0"/>
    <xf numFmtId="170" fontId="10" fillId="0" borderId="38" applyFont="0" applyFill="0" applyBorder="0" applyAlignment="0" applyProtection="0"/>
    <xf numFmtId="164" fontId="17" fillId="36" borderId="64">
      <alignment horizontal="center" vertical="center"/>
    </xf>
    <xf numFmtId="0" fontId="24" fillId="7" borderId="73" applyNumberFormat="0" applyAlignment="0" applyProtection="0"/>
    <xf numFmtId="164" fontId="17" fillId="38" borderId="44">
      <alignment horizontal="left" vertical="center"/>
    </xf>
    <xf numFmtId="0" fontId="24" fillId="7" borderId="52" applyNumberFormat="0" applyAlignment="0" applyProtection="0"/>
    <xf numFmtId="0" fontId="24" fillId="7" borderId="59" applyNumberFormat="0" applyAlignment="0" applyProtection="0"/>
    <xf numFmtId="0" fontId="24" fillId="7" borderId="59" applyNumberFormat="0" applyAlignment="0" applyProtection="0"/>
    <xf numFmtId="0" fontId="24" fillId="7" borderId="52" applyNumberFormat="0" applyAlignment="0" applyProtection="0"/>
    <xf numFmtId="0" fontId="24" fillId="7" borderId="66" applyNumberFormat="0" applyAlignment="0" applyProtection="0"/>
    <xf numFmtId="0" fontId="24" fillId="7" borderId="66" applyNumberFormat="0" applyAlignment="0" applyProtection="0"/>
    <xf numFmtId="0" fontId="49" fillId="23" borderId="53" applyFill="0">
      <alignment horizontal="center" vertical="center" wrapText="1"/>
    </xf>
    <xf numFmtId="0" fontId="24" fillId="7" borderId="66" applyNumberFormat="0" applyAlignment="0" applyProtection="0"/>
    <xf numFmtId="0" fontId="24" fillId="7" borderId="66" applyNumberFormat="0" applyAlignment="0" applyProtection="0"/>
    <xf numFmtId="164" fontId="17" fillId="36" borderId="50">
      <alignment horizontal="center" vertical="center"/>
    </xf>
    <xf numFmtId="0" fontId="28" fillId="26" borderId="75" applyNumberFormat="0" applyAlignment="0" applyProtection="0"/>
    <xf numFmtId="0" fontId="10" fillId="26" borderId="54" applyNumberFormat="0" applyFont="0" applyAlignment="0" applyProtection="0"/>
    <xf numFmtId="0" fontId="24" fillId="7" borderId="79" applyNumberFormat="0" applyAlignment="0" applyProtection="0"/>
    <xf numFmtId="186" fontId="14" fillId="0" borderId="78" applyFont="0" applyFill="0" applyBorder="0" applyAlignment="0" applyProtection="0"/>
    <xf numFmtId="164" fontId="17" fillId="38" borderId="57">
      <alignment horizontal="left" vertical="center"/>
    </xf>
    <xf numFmtId="0" fontId="50" fillId="23" borderId="67" applyFill="0">
      <alignment horizontal="center" vertical="center" wrapText="1"/>
    </xf>
    <xf numFmtId="0" fontId="26" fillId="20" borderId="82" applyNumberFormat="0" applyAlignment="0" applyProtection="0"/>
    <xf numFmtId="0" fontId="24" fillId="7" borderId="52" applyNumberFormat="0" applyAlignment="0" applyProtection="0"/>
    <xf numFmtId="0" fontId="24" fillId="7" borderId="52" applyNumberFormat="0" applyAlignment="0" applyProtection="0"/>
    <xf numFmtId="0" fontId="24" fillId="7" borderId="66" applyNumberFormat="0" applyAlignment="0" applyProtection="0"/>
    <xf numFmtId="0" fontId="24" fillId="7" borderId="79" applyNumberFormat="0" applyAlignment="0" applyProtection="0"/>
    <xf numFmtId="0" fontId="14" fillId="23" borderId="40" applyFill="0">
      <alignment horizontal="center" vertical="center" wrapText="1"/>
    </xf>
    <xf numFmtId="0" fontId="34" fillId="20" borderId="79" applyNumberFormat="0" applyAlignment="0" applyProtection="0"/>
    <xf numFmtId="0" fontId="26" fillId="20" borderId="69" applyNumberFormat="0" applyAlignment="0" applyProtection="0"/>
    <xf numFmtId="0" fontId="24" fillId="7" borderId="79" applyNumberFormat="0" applyAlignment="0" applyProtection="0"/>
    <xf numFmtId="0" fontId="50" fillId="23" borderId="53" applyFill="0">
      <alignment horizontal="center" vertical="center" wrapText="1"/>
    </xf>
    <xf numFmtId="0" fontId="24" fillId="7" borderId="59" applyNumberFormat="0" applyAlignment="0" applyProtection="0"/>
    <xf numFmtId="0" fontId="24" fillId="7" borderId="79" applyNumberFormat="0" applyAlignment="0" applyProtection="0"/>
    <xf numFmtId="0" fontId="24" fillId="7" borderId="66" applyNumberFormat="0" applyAlignment="0" applyProtection="0"/>
    <xf numFmtId="0" fontId="34" fillId="20" borderId="59" applyNumberFormat="0" applyAlignment="0" applyProtection="0"/>
    <xf numFmtId="0" fontId="24" fillId="7" borderId="73" applyNumberFormat="0" applyAlignment="0" applyProtection="0"/>
    <xf numFmtId="0" fontId="24" fillId="7" borderId="79" applyNumberFormat="0" applyAlignment="0" applyProtection="0"/>
    <xf numFmtId="186" fontId="14" fillId="0" borderId="45" applyFont="0" applyFill="0" applyBorder="0" applyAlignment="0" applyProtection="0"/>
    <xf numFmtId="37" fontId="78" fillId="0" borderId="0" applyFill="0" applyBorder="0" applyAlignment="0">
      <protection locked="0"/>
    </xf>
    <xf numFmtId="0" fontId="24" fillId="7" borderId="73" applyNumberFormat="0" applyAlignment="0" applyProtection="0"/>
    <xf numFmtId="0" fontId="24" fillId="7" borderId="66" applyNumberFormat="0" applyAlignment="0" applyProtection="0"/>
    <xf numFmtId="0" fontId="24" fillId="7" borderId="59" applyNumberFormat="0" applyAlignment="0" applyProtection="0"/>
    <xf numFmtId="0" fontId="24" fillId="7" borderId="66" applyNumberFormat="0" applyAlignment="0" applyProtection="0"/>
    <xf numFmtId="0" fontId="24" fillId="7" borderId="66" applyNumberFormat="0" applyAlignment="0" applyProtection="0"/>
    <xf numFmtId="0" fontId="24" fillId="7" borderId="66" applyNumberFormat="0" applyAlignment="0" applyProtection="0"/>
    <xf numFmtId="0" fontId="14" fillId="23" borderId="67" applyFill="0">
      <alignment horizontal="center" vertical="center" wrapText="1"/>
    </xf>
    <xf numFmtId="0" fontId="24" fillId="7" borderId="66" applyNumberFormat="0" applyAlignment="0" applyProtection="0"/>
    <xf numFmtId="0" fontId="28" fillId="26" borderId="81" applyNumberFormat="0" applyAlignment="0" applyProtection="0"/>
    <xf numFmtId="0" fontId="10" fillId="0" borderId="78" applyFont="0" applyFill="0" applyBorder="0" applyAlignment="0" applyProtection="0"/>
    <xf numFmtId="0" fontId="34" fillId="20" borderId="39" applyNumberFormat="0" applyAlignment="0" applyProtection="0"/>
    <xf numFmtId="0" fontId="26" fillId="20" borderId="82" applyNumberFormat="0" applyAlignment="0" applyProtection="0"/>
    <xf numFmtId="0" fontId="34" fillId="20" borderId="52" applyNumberFormat="0" applyAlignment="0" applyProtection="0"/>
    <xf numFmtId="0" fontId="24" fillId="7" borderId="79" applyNumberFormat="0" applyAlignment="0" applyProtection="0"/>
    <xf numFmtId="0" fontId="24" fillId="7" borderId="79" applyNumberFormat="0" applyAlignment="0" applyProtection="0"/>
    <xf numFmtId="0" fontId="24" fillId="7" borderId="39" applyNumberFormat="0" applyAlignment="0" applyProtection="0"/>
    <xf numFmtId="0" fontId="24" fillId="7" borderId="39" applyNumberFormat="0" applyAlignment="0" applyProtection="0"/>
    <xf numFmtId="0" fontId="24" fillId="7" borderId="39" applyNumberFormat="0" applyAlignment="0" applyProtection="0"/>
    <xf numFmtId="0" fontId="24" fillId="7" borderId="52" applyNumberFormat="0" applyAlignment="0" applyProtection="0"/>
    <xf numFmtId="0" fontId="26" fillId="20" borderId="55" applyNumberFormat="0" applyAlignment="0" applyProtection="0"/>
    <xf numFmtId="0" fontId="26" fillId="20" borderId="42" applyNumberFormat="0" applyAlignment="0" applyProtection="0"/>
    <xf numFmtId="0" fontId="24" fillId="7" borderId="79" applyNumberFormat="0" applyAlignment="0" applyProtection="0"/>
    <xf numFmtId="0" fontId="27" fillId="0" borderId="43" applyNumberFormat="0" applyFill="0" applyAlignment="0" applyProtection="0"/>
    <xf numFmtId="0" fontId="24" fillId="7" borderId="73" applyNumberFormat="0" applyAlignment="0" applyProtection="0"/>
    <xf numFmtId="164" fontId="17" fillId="36" borderId="44">
      <alignment horizontal="center" vertical="center"/>
    </xf>
    <xf numFmtId="0" fontId="24" fillId="7" borderId="52" applyNumberFormat="0" applyAlignment="0" applyProtection="0"/>
    <xf numFmtId="0" fontId="28" fillId="26" borderId="61" applyNumberFormat="0" applyAlignment="0" applyProtection="0"/>
    <xf numFmtId="164" fontId="95" fillId="37" borderId="37">
      <alignment horizontal="right" vertical="center"/>
    </xf>
    <xf numFmtId="164" fontId="17" fillId="36" borderId="71">
      <alignment horizontal="center" vertical="center"/>
    </xf>
    <xf numFmtId="0" fontId="24" fillId="7" borderId="66" applyNumberFormat="0" applyAlignment="0" applyProtection="0"/>
    <xf numFmtId="0" fontId="26" fillId="20" borderId="69" applyNumberFormat="0" applyAlignment="0" applyProtection="0"/>
    <xf numFmtId="0" fontId="26" fillId="20" borderId="55" applyNumberFormat="0" applyAlignment="0" applyProtection="0"/>
    <xf numFmtId="164" fontId="17" fillId="38" borderId="37">
      <alignment horizontal="left" vertical="center"/>
    </xf>
    <xf numFmtId="0" fontId="24" fillId="7" borderId="52" applyNumberFormat="0" applyAlignment="0" applyProtection="0"/>
    <xf numFmtId="0" fontId="24" fillId="7" borderId="79" applyNumberFormat="0" applyAlignment="0" applyProtection="0"/>
    <xf numFmtId="170" fontId="10" fillId="0" borderId="72" applyFont="0" applyFill="0" applyBorder="0" applyAlignment="0" applyProtection="0"/>
    <xf numFmtId="0" fontId="34" fillId="20" borderId="79" applyNumberFormat="0" applyAlignment="0" applyProtection="0"/>
    <xf numFmtId="0" fontId="24" fillId="7" borderId="73" applyNumberFormat="0" applyAlignment="0" applyProtection="0"/>
    <xf numFmtId="0" fontId="24" fillId="7" borderId="79" applyNumberFormat="0" applyAlignment="0" applyProtection="0"/>
    <xf numFmtId="0" fontId="50" fillId="23" borderId="53" applyFill="0">
      <alignment horizontal="center" vertical="center" wrapText="1"/>
    </xf>
    <xf numFmtId="37" fontId="78" fillId="0" borderId="0" applyFill="0" applyBorder="0" applyAlignment="0">
      <protection locked="0"/>
    </xf>
    <xf numFmtId="0" fontId="10" fillId="26" borderId="61" applyNumberFormat="0" applyFont="0" applyAlignment="0" applyProtection="0"/>
    <xf numFmtId="0" fontId="24" fillId="7" borderId="79" applyNumberFormat="0" applyAlignment="0" applyProtection="0"/>
    <xf numFmtId="0" fontId="24" fillId="7" borderId="52" applyNumberFormat="0" applyAlignment="0" applyProtection="0"/>
    <xf numFmtId="0" fontId="24" fillId="7" borderId="46" applyNumberFormat="0" applyAlignment="0" applyProtection="0"/>
    <xf numFmtId="0" fontId="26" fillId="20" borderId="49" applyNumberFormat="0" applyAlignment="0" applyProtection="0"/>
    <xf numFmtId="0" fontId="28" fillId="26" borderId="48" applyNumberFormat="0" applyAlignment="0" applyProtection="0"/>
    <xf numFmtId="0" fontId="24" fillId="7" borderId="52" applyNumberFormat="0" applyAlignment="0" applyProtection="0"/>
    <xf numFmtId="0" fontId="28" fillId="26" borderId="48" applyNumberFormat="0" applyAlignment="0" applyProtection="0"/>
    <xf numFmtId="0" fontId="26" fillId="20" borderId="49" applyNumberFormat="0" applyAlignment="0" applyProtection="0"/>
    <xf numFmtId="0" fontId="24" fillId="7" borderId="79" applyNumberFormat="0" applyAlignment="0" applyProtection="0"/>
    <xf numFmtId="0" fontId="24" fillId="7" borderId="79" applyNumberFormat="0" applyAlignment="0" applyProtection="0"/>
    <xf numFmtId="0" fontId="24" fillId="7" borderId="46" applyNumberFormat="0" applyAlignment="0" applyProtection="0"/>
    <xf numFmtId="0" fontId="24" fillId="7" borderId="66" applyNumberFormat="0" applyAlignment="0" applyProtection="0"/>
    <xf numFmtId="0" fontId="24" fillId="7" borderId="52" applyNumberFormat="0" applyAlignment="0" applyProtection="0"/>
    <xf numFmtId="0" fontId="24" fillId="7" borderId="79" applyNumberFormat="0" applyAlignment="0" applyProtection="0"/>
    <xf numFmtId="170" fontId="10" fillId="0" borderId="65" applyFont="0" applyFill="0" applyBorder="0" applyAlignment="0" applyProtection="0"/>
    <xf numFmtId="0" fontId="50" fillId="23" borderId="47" applyFill="0">
      <alignment horizontal="center" vertical="center" wrapText="1"/>
    </xf>
    <xf numFmtId="0" fontId="24" fillId="7" borderId="79" applyNumberFormat="0" applyAlignment="0" applyProtection="0"/>
    <xf numFmtId="0" fontId="24" fillId="7" borderId="66" applyNumberFormat="0" applyAlignment="0" applyProtection="0"/>
    <xf numFmtId="0" fontId="24" fillId="7" borderId="59" applyNumberFormat="0" applyAlignment="0" applyProtection="0"/>
    <xf numFmtId="0" fontId="24" fillId="7" borderId="73" applyNumberFormat="0" applyAlignment="0" applyProtection="0"/>
    <xf numFmtId="0" fontId="24" fillId="7" borderId="59" applyNumberFormat="0" applyAlignment="0" applyProtection="0"/>
    <xf numFmtId="0" fontId="24" fillId="7" borderId="59" applyNumberFormat="0" applyAlignment="0" applyProtection="0"/>
    <xf numFmtId="0" fontId="14" fillId="23" borderId="60" applyFill="0">
      <alignment horizontal="center" vertical="center" wrapText="1"/>
    </xf>
    <xf numFmtId="0" fontId="24" fillId="7" borderId="52" applyNumberFormat="0" applyAlignment="0" applyProtection="0"/>
    <xf numFmtId="0" fontId="27" fillId="0" borderId="63" applyNumberFormat="0" applyFill="0" applyAlignment="0" applyProtection="0"/>
    <xf numFmtId="0" fontId="24" fillId="7" borderId="79" applyNumberFormat="0" applyAlignment="0" applyProtection="0"/>
    <xf numFmtId="0" fontId="24" fillId="7" borderId="73" applyNumberFormat="0" applyAlignment="0" applyProtection="0"/>
    <xf numFmtId="0" fontId="24" fillId="7" borderId="66" applyNumberFormat="0" applyAlignment="0" applyProtection="0"/>
    <xf numFmtId="0" fontId="34" fillId="20" borderId="59" applyNumberFormat="0" applyAlignment="0" applyProtection="0"/>
    <xf numFmtId="0" fontId="34" fillId="20" borderId="46" applyNumberFormat="0" applyAlignment="0" applyProtection="0"/>
    <xf numFmtId="0" fontId="24" fillId="7" borderId="79" applyNumberFormat="0" applyAlignment="0" applyProtection="0"/>
    <xf numFmtId="0" fontId="50" fillId="23" borderId="47" applyFill="0">
      <alignment horizontal="center" vertical="center" wrapText="1"/>
    </xf>
    <xf numFmtId="0" fontId="24" fillId="7" borderId="66" applyNumberFormat="0" applyAlignment="0" applyProtection="0"/>
    <xf numFmtId="0" fontId="24" fillId="7" borderId="46" applyNumberFormat="0" applyAlignment="0" applyProtection="0"/>
    <xf numFmtId="0" fontId="34" fillId="20" borderId="46" applyNumberFormat="0" applyAlignment="0" applyProtection="0"/>
    <xf numFmtId="0" fontId="34" fillId="20" borderId="52" applyNumberFormat="0" applyAlignment="0" applyProtection="0"/>
    <xf numFmtId="0" fontId="24" fillId="7" borderId="59" applyNumberFormat="0" applyAlignment="0" applyProtection="0"/>
    <xf numFmtId="0" fontId="50" fillId="23" borderId="60" applyFill="0">
      <alignment horizontal="center" vertical="center" wrapText="1"/>
    </xf>
    <xf numFmtId="0" fontId="24" fillId="7" borderId="79" applyNumberFormat="0" applyAlignment="0" applyProtection="0"/>
    <xf numFmtId="0" fontId="49" fillId="23" borderId="47" applyFill="0">
      <alignment horizontal="center" vertical="center" wrapText="1"/>
    </xf>
    <xf numFmtId="0" fontId="24" fillId="7" borderId="79" applyNumberFormat="0" applyAlignment="0" applyProtection="0"/>
    <xf numFmtId="0" fontId="24" fillId="7" borderId="46" applyNumberFormat="0" applyAlignment="0" applyProtection="0"/>
    <xf numFmtId="170" fontId="10" fillId="0" borderId="51" applyFont="0" applyFill="0" applyBorder="0" applyAlignment="0" applyProtection="0"/>
    <xf numFmtId="0" fontId="24" fillId="7" borderId="46" applyNumberFormat="0" applyAlignment="0" applyProtection="0"/>
    <xf numFmtId="0" fontId="24" fillId="7" borderId="46" applyNumberFormat="0" applyAlignment="0" applyProtection="0"/>
    <xf numFmtId="0" fontId="27" fillId="0" borderId="70" applyNumberFormat="0" applyFill="0" applyAlignment="0" applyProtection="0"/>
    <xf numFmtId="0" fontId="24" fillId="7" borderId="46" applyNumberFormat="0" applyAlignment="0" applyProtection="0"/>
    <xf numFmtId="164" fontId="17" fillId="36" borderId="57">
      <alignment horizontal="center" vertical="center"/>
    </xf>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59" applyNumberFormat="0" applyAlignment="0" applyProtection="0"/>
    <xf numFmtId="0" fontId="26" fillId="20" borderId="82" applyNumberFormat="0" applyAlignment="0" applyProtection="0"/>
    <xf numFmtId="0" fontId="24" fillId="7" borderId="66" applyNumberFormat="0" applyAlignment="0" applyProtection="0"/>
    <xf numFmtId="0" fontId="24" fillId="7" borderId="46" applyNumberFormat="0" applyAlignment="0" applyProtection="0"/>
    <xf numFmtId="0" fontId="24" fillId="7" borderId="59" applyNumberFormat="0" applyAlignment="0" applyProtection="0"/>
    <xf numFmtId="0" fontId="24" fillId="7" borderId="59" applyNumberFormat="0" applyAlignment="0" applyProtection="0"/>
    <xf numFmtId="0" fontId="24" fillId="7" borderId="46" applyNumberFormat="0" applyAlignment="0" applyProtection="0"/>
    <xf numFmtId="0" fontId="24" fillId="7" borderId="79" applyNumberFormat="0" applyAlignment="0" applyProtection="0"/>
    <xf numFmtId="0" fontId="24" fillId="7" borderId="79" applyNumberFormat="0" applyAlignment="0" applyProtection="0"/>
    <xf numFmtId="170" fontId="10" fillId="0" borderId="58" applyFont="0" applyFill="0" applyBorder="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73" applyNumberFormat="0" applyAlignment="0" applyProtection="0"/>
    <xf numFmtId="0" fontId="24" fillId="7" borderId="46" applyNumberFormat="0" applyAlignment="0" applyProtection="0"/>
    <xf numFmtId="0" fontId="24" fillId="7" borderId="59"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46" applyNumberFormat="0" applyAlignment="0" applyProtection="0"/>
    <xf numFmtId="0" fontId="24" fillId="7" borderId="66" applyNumberFormat="0" applyAlignment="0" applyProtection="0"/>
    <xf numFmtId="0" fontId="24" fillId="7" borderId="73" applyNumberFormat="0" applyAlignment="0" applyProtection="0"/>
    <xf numFmtId="0" fontId="24" fillId="7" borderId="66" applyNumberFormat="0" applyAlignment="0" applyProtection="0"/>
    <xf numFmtId="0" fontId="10" fillId="0" borderId="65" applyFont="0" applyFill="0" applyBorder="0" applyAlignment="0" applyProtection="0"/>
    <xf numFmtId="0" fontId="24" fillId="7" borderId="73" applyNumberFormat="0" applyAlignment="0" applyProtection="0"/>
    <xf numFmtId="0" fontId="49" fillId="23" borderId="74" applyFill="0">
      <alignment horizontal="center" vertical="center" wrapText="1"/>
    </xf>
    <xf numFmtId="164" fontId="17" fillId="38" borderId="50">
      <alignment horizontal="left" vertical="center"/>
    </xf>
    <xf numFmtId="0" fontId="24" fillId="7" borderId="66" applyNumberFormat="0" applyAlignment="0" applyProtection="0"/>
    <xf numFmtId="0" fontId="24" fillId="7" borderId="59" applyNumberFormat="0" applyAlignment="0" applyProtection="0"/>
    <xf numFmtId="0" fontId="24" fillId="7" borderId="79" applyNumberFormat="0" applyAlignment="0" applyProtection="0"/>
    <xf numFmtId="0" fontId="34" fillId="20" borderId="59" applyNumberFormat="0" applyAlignment="0" applyProtection="0"/>
    <xf numFmtId="0" fontId="27" fillId="0" borderId="83" applyNumberFormat="0" applyFill="0" applyAlignment="0" applyProtection="0"/>
    <xf numFmtId="0" fontId="24" fillId="7" borderId="73" applyNumberFormat="0" applyAlignment="0" applyProtection="0"/>
    <xf numFmtId="170" fontId="10" fillId="0" borderId="45" applyFont="0" applyFill="0" applyBorder="0" applyAlignment="0" applyProtection="0"/>
    <xf numFmtId="0" fontId="10" fillId="0" borderId="45" applyFont="0" applyFill="0" applyBorder="0" applyAlignment="0" applyProtection="0"/>
    <xf numFmtId="0" fontId="24" fillId="7" borderId="79" applyNumberFormat="0" applyAlignment="0" applyProtection="0"/>
    <xf numFmtId="0" fontId="24" fillId="7" borderId="79" applyNumberFormat="0" applyAlignment="0" applyProtection="0"/>
    <xf numFmtId="37" fontId="78" fillId="0" borderId="0" applyFill="0" applyBorder="0" applyAlignment="0">
      <protection locked="0"/>
    </xf>
    <xf numFmtId="0" fontId="24" fillId="7" borderId="79" applyNumberFormat="0" applyAlignment="0" applyProtection="0"/>
    <xf numFmtId="0" fontId="28" fillId="26" borderId="81" applyNumberFormat="0" applyAlignment="0" applyProtection="0"/>
    <xf numFmtId="0" fontId="24" fillId="7" borderId="79" applyNumberFormat="0" applyAlignment="0" applyProtection="0"/>
    <xf numFmtId="0" fontId="10" fillId="26" borderId="48" applyNumberFormat="0" applyFont="0" applyAlignment="0" applyProtection="0"/>
    <xf numFmtId="0" fontId="26" fillId="20" borderId="62" applyNumberFormat="0" applyAlignment="0" applyProtection="0"/>
    <xf numFmtId="0" fontId="10" fillId="26" borderId="68" applyNumberFormat="0" applyFont="0" applyAlignment="0" applyProtection="0"/>
    <xf numFmtId="0" fontId="10" fillId="26" borderId="75" applyNumberFormat="0" applyFont="0" applyAlignment="0" applyProtection="0"/>
    <xf numFmtId="0" fontId="24" fillId="7" borderId="59" applyNumberFormat="0" applyAlignment="0" applyProtection="0"/>
    <xf numFmtId="0" fontId="24" fillId="7" borderId="59" applyNumberFormat="0" applyAlignment="0" applyProtection="0"/>
    <xf numFmtId="0" fontId="24" fillId="7" borderId="59" applyNumberFormat="0" applyAlignment="0" applyProtection="0"/>
    <xf numFmtId="0" fontId="24" fillId="7" borderId="79" applyNumberFormat="0" applyAlignment="0" applyProtection="0"/>
    <xf numFmtId="0" fontId="50" fillId="23" borderId="67" applyFill="0">
      <alignment horizontal="center" vertical="center" wrapText="1"/>
    </xf>
    <xf numFmtId="0" fontId="24" fillId="7" borderId="59" applyNumberFormat="0" applyAlignment="0" applyProtection="0"/>
    <xf numFmtId="0" fontId="24" fillId="7" borderId="59" applyNumberFormat="0" applyAlignment="0" applyProtection="0"/>
    <xf numFmtId="0" fontId="24" fillId="7" borderId="79" applyNumberFormat="0" applyAlignment="0" applyProtection="0"/>
    <xf numFmtId="0" fontId="24" fillId="7" borderId="59" applyNumberFormat="0" applyAlignment="0" applyProtection="0"/>
    <xf numFmtId="164" fontId="17" fillId="36" borderId="77">
      <alignment horizontal="center" vertical="center"/>
    </xf>
    <xf numFmtId="0" fontId="24" fillId="7" borderId="59" applyNumberFormat="0" applyAlignment="0" applyProtection="0"/>
    <xf numFmtId="0" fontId="24" fillId="7" borderId="59" applyNumberFormat="0" applyAlignment="0" applyProtection="0"/>
    <xf numFmtId="0" fontId="24" fillId="7" borderId="52" applyNumberFormat="0" applyAlignment="0" applyProtection="0"/>
    <xf numFmtId="0" fontId="24" fillId="7" borderId="52" applyNumberFormat="0" applyAlignment="0" applyProtection="0"/>
    <xf numFmtId="0" fontId="24" fillId="7" borderId="79" applyNumberFormat="0" applyAlignment="0" applyProtection="0"/>
    <xf numFmtId="0" fontId="24" fillId="7" borderId="59" applyNumberFormat="0" applyAlignment="0" applyProtection="0"/>
    <xf numFmtId="0" fontId="26" fillId="20" borderId="69" applyNumberFormat="0" applyAlignment="0" applyProtection="0"/>
    <xf numFmtId="0" fontId="24" fillId="7" borderId="46" applyNumberFormat="0" applyAlignment="0" applyProtection="0"/>
    <xf numFmtId="0" fontId="24" fillId="7" borderId="46" applyNumberFormat="0" applyAlignment="0" applyProtection="0"/>
    <xf numFmtId="0" fontId="24" fillId="7" borderId="73" applyNumberFormat="0" applyAlignment="0" applyProtection="0"/>
    <xf numFmtId="0" fontId="24" fillId="7" borderId="46" applyNumberFormat="0" applyAlignment="0" applyProtection="0"/>
    <xf numFmtId="0" fontId="24" fillId="7" borderId="46" applyNumberFormat="0" applyAlignment="0" applyProtection="0"/>
    <xf numFmtId="0" fontId="24" fillId="7" borderId="79" applyNumberFormat="0" applyAlignment="0" applyProtection="0"/>
    <xf numFmtId="0" fontId="34" fillId="20" borderId="66" applyNumberFormat="0" applyAlignment="0" applyProtection="0"/>
    <xf numFmtId="0" fontId="24" fillId="7" borderId="79" applyNumberFormat="0" applyAlignment="0" applyProtection="0"/>
    <xf numFmtId="0" fontId="24" fillId="7" borderId="79" applyNumberFormat="0" applyAlignment="0" applyProtection="0"/>
    <xf numFmtId="0" fontId="10" fillId="0" borderId="51" applyFont="0" applyFill="0" applyBorder="0" applyAlignment="0" applyProtection="0"/>
    <xf numFmtId="0" fontId="34" fillId="20" borderId="66" applyNumberFormat="0" applyAlignment="0" applyProtection="0"/>
    <xf numFmtId="0" fontId="24" fillId="7" borderId="73" applyNumberFormat="0" applyAlignment="0" applyProtection="0"/>
    <xf numFmtId="0" fontId="24" fillId="7" borderId="66" applyNumberFormat="0" applyAlignment="0" applyProtection="0"/>
    <xf numFmtId="0" fontId="24" fillId="7" borderId="73" applyNumberFormat="0" applyAlignment="0" applyProtection="0"/>
    <xf numFmtId="0" fontId="24" fillId="7" borderId="52" applyNumberFormat="0" applyAlignment="0" applyProtection="0"/>
    <xf numFmtId="0" fontId="24" fillId="7" borderId="66" applyNumberFormat="0" applyAlignment="0" applyProtection="0"/>
    <xf numFmtId="0" fontId="24" fillId="7" borderId="52" applyNumberFormat="0" applyAlignment="0" applyProtection="0"/>
    <xf numFmtId="0" fontId="24" fillId="7" borderId="52" applyNumberFormat="0" applyAlignment="0" applyProtection="0"/>
    <xf numFmtId="0" fontId="24" fillId="7" borderId="52" applyNumberFormat="0" applyAlignment="0" applyProtection="0"/>
    <xf numFmtId="0" fontId="24" fillId="7" borderId="52" applyNumberFormat="0" applyAlignment="0" applyProtection="0"/>
    <xf numFmtId="0" fontId="24" fillId="7" borderId="79" applyNumberFormat="0" applyAlignment="0" applyProtection="0"/>
    <xf numFmtId="0" fontId="26" fillId="20" borderId="76" applyNumberFormat="0" applyAlignment="0" applyProtection="0"/>
    <xf numFmtId="186" fontId="14" fillId="0" borderId="51" applyFont="0" applyFill="0" applyBorder="0" applyAlignment="0" applyProtection="0"/>
    <xf numFmtId="164" fontId="95" fillId="37" borderId="71">
      <alignment horizontal="right" vertical="center"/>
    </xf>
    <xf numFmtId="0" fontId="28" fillId="26" borderId="54" applyNumberFormat="0" applyAlignment="0" applyProtection="0"/>
    <xf numFmtId="0" fontId="34" fillId="20" borderId="52" applyNumberFormat="0" applyAlignment="0" applyProtection="0"/>
    <xf numFmtId="164" fontId="17" fillId="36" borderId="84">
      <alignment horizontal="center" vertical="center"/>
    </xf>
    <xf numFmtId="0" fontId="24" fillId="7" borderId="73" applyNumberFormat="0" applyAlignment="0" applyProtection="0"/>
    <xf numFmtId="0" fontId="34" fillId="20" borderId="66" applyNumberFormat="0" applyAlignment="0" applyProtection="0"/>
    <xf numFmtId="0" fontId="24" fillId="7" borderId="59" applyNumberFormat="0" applyAlignment="0" applyProtection="0"/>
    <xf numFmtId="0" fontId="26" fillId="20" borderId="62" applyNumberFormat="0" applyAlignment="0" applyProtection="0"/>
    <xf numFmtId="37" fontId="78" fillId="0" borderId="0" applyFill="0" applyBorder="0" applyAlignment="0">
      <protection locked="0"/>
    </xf>
    <xf numFmtId="0" fontId="24" fillId="7" borderId="52" applyNumberFormat="0" applyAlignment="0" applyProtection="0"/>
    <xf numFmtId="0" fontId="24" fillId="7" borderId="52" applyNumberFormat="0" applyAlignment="0" applyProtection="0"/>
    <xf numFmtId="186" fontId="14" fillId="0" borderId="58" applyFont="0" applyFill="0" applyBorder="0" applyAlignment="0" applyProtection="0"/>
    <xf numFmtId="0" fontId="24" fillId="7" borderId="52" applyNumberFormat="0" applyAlignment="0" applyProtection="0"/>
    <xf numFmtId="0" fontId="24" fillId="7" borderId="52" applyNumberFormat="0" applyAlignment="0" applyProtection="0"/>
    <xf numFmtId="0" fontId="14" fillId="23" borderId="53" applyFill="0">
      <alignment horizontal="center" vertical="center" wrapText="1"/>
    </xf>
    <xf numFmtId="0" fontId="49" fillId="23" borderId="80" applyFill="0">
      <alignment horizontal="center" vertical="center" wrapText="1"/>
    </xf>
    <xf numFmtId="0" fontId="10" fillId="0" borderId="58" applyFont="0" applyFill="0" applyBorder="0" applyAlignment="0" applyProtection="0"/>
    <xf numFmtId="0" fontId="24" fillId="7" borderId="59" applyNumberFormat="0" applyAlignment="0" applyProtection="0"/>
    <xf numFmtId="0" fontId="24" fillId="7" borderId="59" applyNumberFormat="0" applyAlignment="0" applyProtection="0"/>
    <xf numFmtId="0" fontId="50" fillId="23" borderId="74" applyFill="0">
      <alignment horizontal="center" vertical="center" wrapText="1"/>
    </xf>
    <xf numFmtId="0" fontId="24" fillId="7" borderId="59" applyNumberFormat="0" applyAlignment="0" applyProtection="0"/>
    <xf numFmtId="0" fontId="24" fillId="7" borderId="59" applyNumberFormat="0" applyAlignment="0" applyProtection="0"/>
    <xf numFmtId="0" fontId="24" fillId="7" borderId="73" applyNumberFormat="0" applyAlignment="0" applyProtection="0"/>
    <xf numFmtId="0" fontId="49" fillId="23" borderId="60" applyFill="0">
      <alignment horizontal="center" vertical="center" wrapText="1"/>
    </xf>
    <xf numFmtId="0" fontId="24" fillId="7" borderId="73" applyNumberFormat="0" applyAlignment="0" applyProtection="0"/>
    <xf numFmtId="0" fontId="24" fillId="7" borderId="79" applyNumberFormat="0" applyAlignment="0" applyProtection="0"/>
    <xf numFmtId="0" fontId="50" fillId="23" borderId="60" applyFill="0">
      <alignment horizontal="center" vertical="center" wrapText="1"/>
    </xf>
    <xf numFmtId="0" fontId="10" fillId="26" borderId="81" applyNumberFormat="0" applyFont="0" applyAlignment="0" applyProtection="0"/>
    <xf numFmtId="0" fontId="24" fillId="7" borderId="66" applyNumberFormat="0" applyAlignment="0" applyProtection="0"/>
    <xf numFmtId="0" fontId="24" fillId="7" borderId="73" applyNumberFormat="0" applyAlignment="0" applyProtection="0"/>
    <xf numFmtId="0" fontId="26" fillId="20" borderId="62" applyNumberFormat="0" applyAlignment="0" applyProtection="0"/>
    <xf numFmtId="164" fontId="95" fillId="37" borderId="50">
      <alignment horizontal="right" vertical="center"/>
    </xf>
    <xf numFmtId="0" fontId="24" fillId="7" borderId="79" applyNumberFormat="0" applyAlignment="0" applyProtection="0"/>
    <xf numFmtId="0" fontId="24" fillId="7" borderId="79" applyNumberFormat="0" applyAlignment="0" applyProtection="0"/>
    <xf numFmtId="0" fontId="24" fillId="7" borderId="79" applyNumberFormat="0" applyAlignment="0" applyProtection="0"/>
    <xf numFmtId="164" fontId="95" fillId="37" borderId="57">
      <alignment horizontal="right" vertical="center"/>
    </xf>
    <xf numFmtId="0" fontId="24" fillId="7" borderId="66" applyNumberFormat="0" applyAlignment="0" applyProtection="0"/>
    <xf numFmtId="0" fontId="24" fillId="7" borderId="73" applyNumberFormat="0" applyAlignment="0" applyProtection="0"/>
    <xf numFmtId="0" fontId="24" fillId="7" borderId="59" applyNumberFormat="0" applyAlignment="0" applyProtection="0"/>
    <xf numFmtId="0" fontId="24" fillId="7" borderId="59" applyNumberFormat="0" applyAlignment="0" applyProtection="0"/>
    <xf numFmtId="0" fontId="34" fillId="20" borderId="79" applyNumberFormat="0" applyAlignment="0" applyProtection="0"/>
    <xf numFmtId="0" fontId="50" fillId="23" borderId="80" applyFill="0">
      <alignment horizontal="center" vertical="center" wrapText="1"/>
    </xf>
    <xf numFmtId="0" fontId="24" fillId="7" borderId="79" applyNumberFormat="0" applyAlignment="0" applyProtection="0"/>
    <xf numFmtId="0" fontId="24" fillId="7" borderId="79" applyNumberFormat="0" applyAlignment="0" applyProtection="0"/>
    <xf numFmtId="0" fontId="24" fillId="7" borderId="66" applyNumberFormat="0" applyAlignment="0" applyProtection="0"/>
    <xf numFmtId="0" fontId="24" fillId="7" borderId="79" applyNumberFormat="0" applyAlignment="0" applyProtection="0"/>
    <xf numFmtId="0" fontId="24" fillId="7" borderId="66" applyNumberFormat="0" applyAlignment="0" applyProtection="0"/>
    <xf numFmtId="0" fontId="24" fillId="7" borderId="66" applyNumberFormat="0" applyAlignment="0" applyProtection="0"/>
    <xf numFmtId="0" fontId="24" fillId="7" borderId="66" applyNumberFormat="0" applyAlignment="0" applyProtection="0"/>
    <xf numFmtId="37" fontId="78" fillId="0" borderId="0" applyFill="0" applyBorder="0" applyAlignment="0">
      <protection locked="0"/>
    </xf>
    <xf numFmtId="0" fontId="34" fillId="20" borderId="73" applyNumberFormat="0" applyAlignment="0" applyProtection="0"/>
    <xf numFmtId="0" fontId="24" fillId="7" borderId="79" applyNumberFormat="0" applyAlignment="0" applyProtection="0"/>
    <xf numFmtId="0" fontId="24" fillId="7" borderId="79" applyNumberFormat="0" applyAlignment="0" applyProtection="0"/>
    <xf numFmtId="164" fontId="17" fillId="38" borderId="77">
      <alignment horizontal="left" vertical="center"/>
    </xf>
    <xf numFmtId="0" fontId="28" fillId="26" borderId="68" applyNumberFormat="0" applyAlignment="0" applyProtection="0"/>
    <xf numFmtId="0" fontId="24" fillId="7" borderId="73" applyNumberFormat="0" applyAlignment="0" applyProtection="0"/>
    <xf numFmtId="0" fontId="24" fillId="7" borderId="79" applyNumberFormat="0" applyAlignment="0" applyProtection="0"/>
    <xf numFmtId="0" fontId="26" fillId="20" borderId="76" applyNumberFormat="0" applyAlignment="0" applyProtection="0"/>
    <xf numFmtId="0" fontId="24" fillId="7" borderId="73" applyNumberFormat="0" applyAlignment="0" applyProtection="0"/>
    <xf numFmtId="0" fontId="28" fillId="26" borderId="81" applyNumberFormat="0" applyAlignment="0" applyProtection="0"/>
    <xf numFmtId="0" fontId="24" fillId="7" borderId="66" applyNumberFormat="0" applyAlignment="0" applyProtection="0"/>
    <xf numFmtId="0" fontId="24" fillId="7" borderId="66" applyNumberFormat="0" applyAlignment="0" applyProtection="0"/>
    <xf numFmtId="0" fontId="26" fillId="20" borderId="82" applyNumberFormat="0" applyAlignment="0" applyProtection="0"/>
    <xf numFmtId="0" fontId="24" fillId="7" borderId="66" applyNumberFormat="0" applyAlignment="0" applyProtection="0"/>
    <xf numFmtId="0" fontId="24" fillId="7" borderId="66" applyNumberFormat="0" applyAlignment="0" applyProtection="0"/>
    <xf numFmtId="0" fontId="34" fillId="20" borderId="79" applyNumberFormat="0" applyAlignment="0" applyProtection="0"/>
    <xf numFmtId="0" fontId="50" fillId="23" borderId="80" applyFill="0">
      <alignment horizontal="center" vertical="center" wrapText="1"/>
    </xf>
    <xf numFmtId="0" fontId="10" fillId="0" borderId="72" applyFont="0" applyFill="0" applyBorder="0" applyAlignment="0" applyProtection="0"/>
    <xf numFmtId="0" fontId="24" fillId="7" borderId="73" applyNumberFormat="0" applyAlignment="0" applyProtection="0"/>
    <xf numFmtId="0" fontId="24" fillId="7" borderId="73" applyNumberFormat="0" applyAlignment="0" applyProtection="0"/>
    <xf numFmtId="0" fontId="24" fillId="7" borderId="79" applyNumberFormat="0" applyAlignment="0" applyProtection="0"/>
    <xf numFmtId="0" fontId="24" fillId="7" borderId="73" applyNumberFormat="0" applyAlignment="0" applyProtection="0"/>
    <xf numFmtId="0" fontId="24" fillId="7" borderId="73" applyNumberFormat="0" applyAlignment="0" applyProtection="0"/>
    <xf numFmtId="186" fontId="14" fillId="0" borderId="72" applyFont="0" applyFill="0" applyBorder="0" applyAlignment="0" applyProtection="0"/>
    <xf numFmtId="0" fontId="24" fillId="7" borderId="79" applyNumberFormat="0" applyAlignment="0" applyProtection="0"/>
    <xf numFmtId="170" fontId="10" fillId="0" borderId="78" applyFont="0" applyFill="0" applyBorder="0" applyAlignment="0" applyProtection="0"/>
    <xf numFmtId="0" fontId="28" fillId="26" borderId="75" applyNumberFormat="0" applyAlignment="0" applyProtection="0"/>
    <xf numFmtId="0" fontId="24" fillId="7" borderId="79" applyNumberFormat="0" applyAlignment="0" applyProtection="0"/>
    <xf numFmtId="0" fontId="24" fillId="7" borderId="79" applyNumberFormat="0" applyAlignment="0" applyProtection="0"/>
    <xf numFmtId="0" fontId="24" fillId="7" borderId="73" applyNumberFormat="0" applyAlignment="0" applyProtection="0"/>
    <xf numFmtId="0" fontId="24" fillId="7" borderId="73" applyNumberFormat="0" applyAlignment="0" applyProtection="0"/>
    <xf numFmtId="0" fontId="24" fillId="7" borderId="73" applyNumberFormat="0" applyAlignment="0" applyProtection="0"/>
    <xf numFmtId="0" fontId="24" fillId="7" borderId="73" applyNumberFormat="0" applyAlignment="0" applyProtection="0"/>
    <xf numFmtId="0" fontId="14" fillId="23" borderId="74" applyFill="0">
      <alignment horizontal="center" vertical="center" wrapText="1"/>
    </xf>
    <xf numFmtId="0" fontId="24" fillId="7" borderId="79" applyNumberFormat="0" applyAlignment="0" applyProtection="0"/>
    <xf numFmtId="0" fontId="24" fillId="7" borderId="79" applyNumberFormat="0" applyAlignment="0" applyProtection="0"/>
    <xf numFmtId="0" fontId="50" fillId="23" borderId="80" applyFill="0">
      <alignment horizontal="center" vertical="center" wrapText="1"/>
    </xf>
    <xf numFmtId="0" fontId="24" fillId="7" borderId="79" applyNumberFormat="0" applyAlignment="0" applyProtection="0"/>
    <xf numFmtId="0" fontId="24" fillId="7" borderId="79" applyNumberFormat="0" applyAlignment="0" applyProtection="0"/>
    <xf numFmtId="0" fontId="26" fillId="20" borderId="82" applyNumberFormat="0" applyAlignment="0" applyProtection="0"/>
    <xf numFmtId="0" fontId="24" fillId="7" borderId="79" applyNumberFormat="0" applyAlignment="0" applyProtection="0"/>
    <xf numFmtId="0" fontId="24" fillId="7" borderId="79" applyNumberFormat="0" applyAlignment="0" applyProtection="0"/>
    <xf numFmtId="0" fontId="24" fillId="7" borderId="79" applyNumberFormat="0" applyAlignment="0" applyProtection="0"/>
    <xf numFmtId="0" fontId="24" fillId="7" borderId="79" applyNumberFormat="0" applyAlignment="0" applyProtection="0"/>
    <xf numFmtId="0" fontId="14" fillId="23" borderId="80" applyFill="0">
      <alignment horizontal="center" vertical="center" wrapText="1"/>
    </xf>
    <xf numFmtId="0" fontId="24" fillId="7" borderId="79" applyNumberFormat="0" applyAlignment="0" applyProtection="0"/>
    <xf numFmtId="0" fontId="24" fillId="7" borderId="79" applyNumberFormat="0" applyAlignment="0" applyProtection="0"/>
    <xf numFmtId="0" fontId="24" fillId="7" borderId="79" applyNumberFormat="0" applyAlignment="0" applyProtection="0"/>
    <xf numFmtId="0" fontId="24" fillId="7" borderId="79" applyNumberFormat="0" applyAlignment="0" applyProtection="0"/>
    <xf numFmtId="0" fontId="49" fillId="23" borderId="80" applyFill="0">
      <alignment horizontal="center" vertical="center" wrapText="1"/>
    </xf>
    <xf numFmtId="0" fontId="50" fillId="23" borderId="80" applyFill="0">
      <alignment horizontal="center" vertical="center" wrapText="1"/>
    </xf>
    <xf numFmtId="164" fontId="95" fillId="37" borderId="77">
      <alignment horizontal="right" vertical="center"/>
    </xf>
    <xf numFmtId="0" fontId="24" fillId="7" borderId="79" applyNumberFormat="0" applyAlignment="0" applyProtection="0"/>
    <xf numFmtId="0" fontId="24" fillId="7" borderId="79" applyNumberFormat="0" applyAlignment="0" applyProtection="0"/>
    <xf numFmtId="0" fontId="24" fillId="7" borderId="162" applyNumberFormat="0" applyAlignment="0" applyProtection="0"/>
    <xf numFmtId="0" fontId="24" fillId="7" borderId="148" applyNumberFormat="0" applyAlignment="0" applyProtection="0"/>
    <xf numFmtId="0" fontId="50" fillId="23" borderId="122" applyFill="0">
      <alignment horizontal="center" vertical="center" wrapText="1"/>
    </xf>
    <xf numFmtId="0" fontId="24" fillId="7" borderId="323" applyNumberFormat="0" applyAlignment="0" applyProtection="0"/>
    <xf numFmtId="0" fontId="24" fillId="7" borderId="370" applyNumberFormat="0" applyAlignment="0" applyProtection="0"/>
    <xf numFmtId="0" fontId="14" fillId="23" borderId="317" applyFill="0">
      <alignment horizontal="center" vertical="center" wrapText="1"/>
    </xf>
    <xf numFmtId="0" fontId="24" fillId="7" borderId="316" applyNumberFormat="0" applyAlignment="0" applyProtection="0"/>
    <xf numFmtId="0" fontId="24" fillId="7" borderId="323" applyNumberFormat="0" applyAlignment="0" applyProtection="0"/>
    <xf numFmtId="0" fontId="24" fillId="7" borderId="229" applyNumberFormat="0" applyAlignment="0" applyProtection="0"/>
    <xf numFmtId="0" fontId="24" fillId="7" borderId="182" applyNumberFormat="0" applyAlignment="0" applyProtection="0"/>
    <xf numFmtId="0" fontId="28" fillId="26" borderId="325" applyNumberFormat="0" applyAlignment="0" applyProtection="0"/>
    <xf numFmtId="0" fontId="24" fillId="7" borderId="135" applyNumberFormat="0" applyAlignment="0" applyProtection="0"/>
    <xf numFmtId="0" fontId="24" fillId="7" borderId="323" applyNumberFormat="0" applyAlignment="0" applyProtection="0"/>
    <xf numFmtId="0" fontId="24" fillId="7" borderId="229" applyNumberFormat="0" applyAlignment="0" applyProtection="0"/>
    <xf numFmtId="186" fontId="14" fillId="0" borderId="322" applyFont="0" applyFill="0" applyBorder="0" applyAlignment="0" applyProtection="0"/>
    <xf numFmtId="0" fontId="24" fillId="7" borderId="135" applyNumberFormat="0" applyAlignment="0" applyProtection="0"/>
    <xf numFmtId="0" fontId="34" fillId="20" borderId="276" applyNumberFormat="0" applyAlignment="0" applyProtection="0"/>
    <xf numFmtId="0" fontId="34" fillId="20" borderId="370" applyNumberFormat="0" applyAlignment="0" applyProtection="0"/>
    <xf numFmtId="0" fontId="24" fillId="7" borderId="202" applyNumberFormat="0" applyAlignment="0" applyProtection="0"/>
    <xf numFmtId="0" fontId="50" fillId="23" borderId="371" applyFill="0">
      <alignment horizontal="center" vertical="center" wrapText="1"/>
    </xf>
    <xf numFmtId="0" fontId="24" fillId="7" borderId="148" applyNumberFormat="0" applyAlignment="0" applyProtection="0"/>
    <xf numFmtId="0" fontId="26" fillId="20" borderId="198" applyNumberFormat="0" applyAlignment="0" applyProtection="0"/>
    <xf numFmtId="0" fontId="50" fillId="23" borderId="277" applyFill="0">
      <alignment horizontal="center" vertical="center" wrapText="1"/>
    </xf>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48" applyNumberFormat="0" applyAlignment="0" applyProtection="0"/>
    <xf numFmtId="0" fontId="24" fillId="7" borderId="370" applyNumberFormat="0" applyAlignment="0" applyProtection="0"/>
    <xf numFmtId="0" fontId="10" fillId="26" borderId="75" applyNumberFormat="0" applyFont="0" applyAlignment="0" applyProtection="0"/>
    <xf numFmtId="0" fontId="10" fillId="26" borderId="177" applyNumberFormat="0" applyFont="0" applyAlignment="0" applyProtection="0"/>
    <xf numFmtId="0" fontId="24" fillId="7" borderId="336" applyNumberFormat="0" applyAlignment="0" applyProtection="0"/>
    <xf numFmtId="0" fontId="10" fillId="26" borderId="365" applyNumberFormat="0" applyFont="0" applyAlignment="0" applyProtection="0"/>
    <xf numFmtId="0" fontId="10" fillId="26" borderId="224" applyNumberFormat="0" applyFont="0" applyAlignment="0" applyProtection="0"/>
    <xf numFmtId="0" fontId="10" fillId="26" borderId="123" applyNumberFormat="0" applyFont="0" applyAlignment="0" applyProtection="0"/>
    <xf numFmtId="0" fontId="28" fillId="26" borderId="392" applyNumberFormat="0" applyAlignment="0" applyProtection="0"/>
    <xf numFmtId="0" fontId="24" fillId="7" borderId="182" applyNumberFormat="0" applyAlignment="0" applyProtection="0"/>
    <xf numFmtId="0" fontId="26" fillId="20" borderId="373" applyNumberFormat="0" applyAlignment="0" applyProtection="0"/>
    <xf numFmtId="0" fontId="24" fillId="7" borderId="370" applyNumberFormat="0" applyAlignment="0" applyProtection="0"/>
    <xf numFmtId="0" fontId="44" fillId="0" borderId="0"/>
    <xf numFmtId="0" fontId="27" fillId="0" borderId="179" applyNumberFormat="0" applyFill="0" applyAlignment="0" applyProtection="0"/>
    <xf numFmtId="0" fontId="24" fillId="7" borderId="135" applyNumberFormat="0" applyAlignment="0" applyProtection="0"/>
    <xf numFmtId="0" fontId="14" fillId="23" borderId="122" applyFill="0">
      <alignment horizontal="center" vertical="center" wrapText="1"/>
    </xf>
    <xf numFmtId="164" fontId="95" fillId="37" borderId="207">
      <alignment horizontal="right" vertical="center"/>
    </xf>
    <xf numFmtId="0" fontId="24" fillId="7" borderId="100" applyNumberFormat="0" applyAlignment="0" applyProtection="0"/>
    <xf numFmtId="0" fontId="26" fillId="20" borderId="386" applyNumberFormat="0" applyAlignment="0" applyProtection="0"/>
    <xf numFmtId="0" fontId="24" fillId="7" borderId="276" applyNumberFormat="0" applyAlignment="0" applyProtection="0"/>
    <xf numFmtId="0" fontId="28" fillId="26" borderId="224" applyNumberFormat="0" applyAlignment="0" applyProtection="0"/>
    <xf numFmtId="0" fontId="24" fillId="7" borderId="182" applyNumberFormat="0" applyAlignment="0" applyProtection="0"/>
    <xf numFmtId="0" fontId="24" fillId="7" borderId="182" applyNumberFormat="0" applyAlignment="0" applyProtection="0"/>
    <xf numFmtId="0" fontId="27" fillId="0" borderId="246" applyNumberFormat="0" applyFill="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323" applyNumberFormat="0" applyAlignment="0" applyProtection="0"/>
    <xf numFmtId="0" fontId="28" fillId="26" borderId="177" applyNumberFormat="0" applyAlignment="0" applyProtection="0"/>
    <xf numFmtId="0" fontId="24" fillId="7" borderId="242" applyNumberFormat="0" applyAlignment="0" applyProtection="0"/>
    <xf numFmtId="0" fontId="34" fillId="20" borderId="135" applyNumberFormat="0" applyAlignment="0" applyProtection="0"/>
    <xf numFmtId="0" fontId="14" fillId="23" borderId="223" applyFill="0">
      <alignment horizontal="center" vertical="center" wrapText="1"/>
    </xf>
    <xf numFmtId="0" fontId="34" fillId="20" borderId="216" applyNumberFormat="0" applyAlignment="0" applyProtection="0"/>
    <xf numFmtId="0" fontId="24" fillId="7" borderId="289" applyNumberFormat="0" applyAlignment="0" applyProtection="0"/>
    <xf numFmtId="0" fontId="14" fillId="23" borderId="74" applyFill="0">
      <alignment horizontal="center" vertical="center" wrapText="1"/>
    </xf>
    <xf numFmtId="0" fontId="24" fillId="7" borderId="242" applyNumberFormat="0" applyAlignment="0" applyProtection="0"/>
    <xf numFmtId="0" fontId="24" fillId="7" borderId="276" applyNumberFormat="0" applyAlignment="0" applyProtection="0"/>
    <xf numFmtId="164" fontId="17" fillId="38" borderId="301">
      <alignment horizontal="left" vertical="center"/>
    </xf>
    <xf numFmtId="0" fontId="27" fillId="0" borderId="133" applyNumberFormat="0" applyFill="0" applyAlignment="0" applyProtection="0"/>
    <xf numFmtId="0" fontId="24" fillId="7" borderId="121" applyNumberFormat="0" applyAlignment="0" applyProtection="0"/>
    <xf numFmtId="0" fontId="24" fillId="7" borderId="229" applyNumberFormat="0" applyAlignment="0" applyProtection="0"/>
    <xf numFmtId="0" fontId="26" fillId="20" borderId="151" applyNumberFormat="0" applyAlignment="0" applyProtection="0"/>
    <xf numFmtId="0" fontId="24" fillId="7" borderId="155" applyNumberFormat="0" applyAlignment="0" applyProtection="0"/>
    <xf numFmtId="0" fontId="49" fillId="23" borderId="230" applyFill="0">
      <alignment horizontal="center" vertical="center" wrapText="1"/>
    </xf>
    <xf numFmtId="0" fontId="24" fillId="7" borderId="323" applyNumberFormat="0" applyAlignment="0" applyProtection="0"/>
    <xf numFmtId="0" fontId="28" fillId="26" borderId="251" applyNumberFormat="0" applyAlignment="0" applyProtection="0"/>
    <xf numFmtId="0" fontId="28" fillId="26" borderId="298" applyNumberFormat="0" applyAlignment="0" applyProtection="0"/>
    <xf numFmtId="0" fontId="26" fillId="20" borderId="124" applyNumberFormat="0" applyAlignment="0" applyProtection="0"/>
    <xf numFmtId="0" fontId="24" fillId="7" borderId="229" applyNumberFormat="0" applyAlignment="0" applyProtection="0"/>
    <xf numFmtId="0" fontId="24" fillId="7" borderId="303"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14" applyNumberFormat="0" applyAlignment="0" applyProtection="0"/>
    <xf numFmtId="164" fontId="95" fillId="37" borderId="92">
      <alignment horizontal="right" vertical="center"/>
    </xf>
    <xf numFmtId="0" fontId="27" fillId="0" borderId="104" applyNumberFormat="0" applyFill="0" applyAlignment="0" applyProtection="0"/>
    <xf numFmtId="186" fontId="14" fillId="0" borderId="86" applyFont="0" applyFill="0" applyBorder="0" applyAlignment="0" applyProtection="0"/>
    <xf numFmtId="0" fontId="24" fillId="7" borderId="107" applyNumberFormat="0" applyAlignment="0" applyProtection="0"/>
    <xf numFmtId="0" fontId="24" fillId="7" borderId="127" applyNumberFormat="0" applyAlignment="0" applyProtection="0"/>
    <xf numFmtId="0" fontId="24" fillId="7" borderId="114" applyNumberFormat="0" applyAlignment="0" applyProtection="0"/>
    <xf numFmtId="0" fontId="24" fillId="7" borderId="107" applyNumberFormat="0" applyAlignment="0" applyProtection="0"/>
    <xf numFmtId="0" fontId="26" fillId="20" borderId="103" applyNumberFormat="0" applyAlignment="0" applyProtection="0"/>
    <xf numFmtId="0" fontId="24" fillId="7" borderId="107" applyNumberFormat="0" applyAlignment="0" applyProtection="0"/>
    <xf numFmtId="186" fontId="14" fillId="0" borderId="228" applyFont="0" applyFill="0" applyBorder="0" applyAlignment="0" applyProtection="0"/>
    <xf numFmtId="0" fontId="24" fillId="7" borderId="182" applyNumberFormat="0" applyAlignment="0" applyProtection="0"/>
    <xf numFmtId="0" fontId="26" fillId="20" borderId="138" applyNumberFormat="0" applyAlignment="0" applyProtection="0"/>
    <xf numFmtId="0" fontId="24" fillId="7" borderId="73" applyNumberFormat="0" applyAlignment="0" applyProtection="0"/>
    <xf numFmtId="0" fontId="24" fillId="7" borderId="73" applyNumberFormat="0" applyAlignment="0" applyProtection="0"/>
    <xf numFmtId="0" fontId="24" fillId="7" borderId="100" applyNumberFormat="0" applyAlignment="0" applyProtection="0"/>
    <xf numFmtId="0" fontId="27" fillId="0" borderId="85" applyNumberFormat="0" applyFill="0" applyAlignment="0" applyProtection="0"/>
    <xf numFmtId="0" fontId="28" fillId="26" borderId="109" applyNumberFormat="0" applyAlignment="0" applyProtection="0"/>
    <xf numFmtId="0" fontId="24" fillId="7" borderId="135" applyNumberFormat="0" applyAlignment="0" applyProtection="0"/>
    <xf numFmtId="0" fontId="24" fillId="7" borderId="229" applyNumberFormat="0" applyAlignment="0" applyProtection="0"/>
    <xf numFmtId="0" fontId="34" fillId="20" borderId="121" applyNumberFormat="0" applyAlignment="0" applyProtection="0"/>
    <xf numFmtId="0" fontId="26" fillId="20" borderId="326" applyNumberFormat="0" applyAlignment="0" applyProtection="0"/>
    <xf numFmtId="0" fontId="24" fillId="7" borderId="182" applyNumberFormat="0" applyAlignment="0" applyProtection="0"/>
    <xf numFmtId="0" fontId="24" fillId="7" borderId="182" applyNumberFormat="0" applyAlignment="0" applyProtection="0"/>
    <xf numFmtId="0" fontId="28" fillId="26" borderId="278" applyNumberFormat="0" applyAlignment="0" applyProtection="0"/>
    <xf numFmtId="0" fontId="24" fillId="7" borderId="276"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23" applyNumberFormat="0" applyAlignment="0" applyProtection="0"/>
    <xf numFmtId="0" fontId="28" fillId="26" borderId="116" applyNumberFormat="0" applyAlignment="0" applyProtection="0"/>
    <xf numFmtId="0" fontId="24" fillId="7" borderId="100"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35" applyNumberFormat="0" applyAlignment="0" applyProtection="0"/>
    <xf numFmtId="0" fontId="28" fillId="26" borderId="137" applyNumberFormat="0" applyAlignment="0" applyProtection="0"/>
    <xf numFmtId="0" fontId="24" fillId="7" borderId="222" applyNumberFormat="0" applyAlignment="0" applyProtection="0"/>
    <xf numFmtId="0" fontId="24" fillId="7" borderId="87" applyNumberFormat="0" applyAlignment="0" applyProtection="0"/>
    <xf numFmtId="0" fontId="26" fillId="20" borderId="90" applyNumberFormat="0" applyAlignment="0" applyProtection="0"/>
    <xf numFmtId="0" fontId="28" fillId="26" borderId="89" applyNumberFormat="0" applyAlignment="0" applyProtection="0"/>
    <xf numFmtId="0" fontId="24" fillId="7" borderId="296" applyNumberFormat="0" applyAlignment="0" applyProtection="0"/>
    <xf numFmtId="0" fontId="24" fillId="7" borderId="276" applyNumberFormat="0" applyAlignment="0" applyProtection="0"/>
    <xf numFmtId="0" fontId="28" fillId="26" borderId="89" applyNumberFormat="0" applyAlignment="0" applyProtection="0"/>
    <xf numFmtId="0" fontId="26" fillId="20" borderId="90" applyNumberFormat="0" applyAlignment="0" applyProtection="0"/>
    <xf numFmtId="0" fontId="24" fillId="7" borderId="87" applyNumberFormat="0" applyAlignment="0" applyProtection="0"/>
    <xf numFmtId="0" fontId="34" fillId="20" borderId="404"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390" applyNumberFormat="0" applyAlignment="0" applyProtection="0"/>
    <xf numFmtId="0" fontId="49" fillId="23" borderId="136" applyFill="0">
      <alignment horizontal="center" vertical="center" wrapText="1"/>
    </xf>
    <xf numFmtId="0" fontId="26" fillId="20" borderId="185" applyNumberFormat="0" applyAlignment="0" applyProtection="0"/>
    <xf numFmtId="0" fontId="24" fillId="7" borderId="229" applyNumberFormat="0" applyAlignment="0" applyProtection="0"/>
    <xf numFmtId="0" fontId="28" fillId="26" borderId="204" applyNumberFormat="0" applyAlignment="0" applyProtection="0"/>
    <xf numFmtId="0" fontId="50" fillId="23" borderId="88" applyFill="0">
      <alignment horizontal="center" vertical="center" wrapText="1"/>
    </xf>
    <xf numFmtId="0" fontId="24" fillId="7" borderId="121" applyNumberFormat="0" applyAlignment="0" applyProtection="0"/>
    <xf numFmtId="0" fontId="24" fillId="7" borderId="350" applyNumberFormat="0" applyAlignment="0" applyProtection="0"/>
    <xf numFmtId="0" fontId="24" fillId="7" borderId="175" applyNumberFormat="0" applyAlignment="0" applyProtection="0"/>
    <xf numFmtId="0" fontId="34" fillId="20" borderId="263" applyNumberFormat="0" applyAlignment="0" applyProtection="0"/>
    <xf numFmtId="0" fontId="24" fillId="7" borderId="249" applyNumberFormat="0" applyAlignment="0" applyProtection="0"/>
    <xf numFmtId="0" fontId="24" fillId="7" borderId="256" applyNumberFormat="0" applyAlignment="0" applyProtection="0"/>
    <xf numFmtId="0" fontId="24" fillId="7" borderId="135" applyNumberFormat="0" applyAlignment="0" applyProtection="0"/>
    <xf numFmtId="0" fontId="24" fillId="7" borderId="229" applyNumberFormat="0" applyAlignment="0" applyProtection="0"/>
    <xf numFmtId="0" fontId="24" fillId="7" borderId="276" applyNumberFormat="0" applyAlignment="0" applyProtection="0"/>
    <xf numFmtId="0" fontId="34" fillId="20" borderId="169" applyNumberFormat="0" applyAlignment="0" applyProtection="0"/>
    <xf numFmtId="0" fontId="28" fillId="26" borderId="157" applyNumberFormat="0" applyAlignment="0" applyProtection="0"/>
    <xf numFmtId="0" fontId="24" fillId="7" borderId="182" applyNumberFormat="0" applyAlignment="0" applyProtection="0"/>
    <xf numFmtId="0" fontId="24" fillId="7" borderId="343" applyNumberFormat="0" applyAlignment="0" applyProtection="0"/>
    <xf numFmtId="0" fontId="24" fillId="7" borderId="350" applyNumberFormat="0" applyAlignment="0" applyProtection="0"/>
    <xf numFmtId="0" fontId="24" fillId="7" borderId="182" applyNumberFormat="0" applyAlignment="0" applyProtection="0"/>
    <xf numFmtId="0" fontId="34" fillId="20" borderId="87" applyNumberFormat="0" applyAlignment="0" applyProtection="0"/>
    <xf numFmtId="0" fontId="50" fillId="23" borderId="88" applyFill="0">
      <alignment horizontal="center" vertical="center" wrapText="1"/>
    </xf>
    <xf numFmtId="0" fontId="24" fillId="7" borderId="397" applyNumberFormat="0" applyAlignment="0" applyProtection="0"/>
    <xf numFmtId="0" fontId="24" fillId="7" borderId="87" applyNumberFormat="0" applyAlignment="0" applyProtection="0"/>
    <xf numFmtId="0" fontId="34" fillId="20" borderId="87" applyNumberFormat="0" applyAlignment="0" applyProtection="0"/>
    <xf numFmtId="0" fontId="49" fillId="23" borderId="183" applyFill="0">
      <alignment horizontal="center" vertical="center" wrapText="1"/>
    </xf>
    <xf numFmtId="0" fontId="24" fillId="7" borderId="370" applyNumberFormat="0" applyAlignment="0" applyProtection="0"/>
    <xf numFmtId="0" fontId="28" fillId="26" borderId="123" applyNumberFormat="0" applyAlignment="0" applyProtection="0"/>
    <xf numFmtId="0" fontId="26" fillId="20" borderId="138" applyNumberFormat="0" applyAlignment="0" applyProtection="0"/>
    <xf numFmtId="0" fontId="24" fillId="7" borderId="276" applyNumberFormat="0" applyAlignment="0" applyProtection="0"/>
    <xf numFmtId="0" fontId="49" fillId="23" borderId="88" applyFill="0">
      <alignment horizontal="center" vertical="center" wrapText="1"/>
    </xf>
    <xf numFmtId="0" fontId="24" fillId="7" borderId="323" applyNumberFormat="0" applyAlignment="0" applyProtection="0"/>
    <xf numFmtId="0" fontId="27" fillId="0" borderId="199" applyNumberFormat="0" applyFill="0" applyAlignment="0" applyProtection="0"/>
    <xf numFmtId="0" fontId="24" fillId="7" borderId="87" applyNumberFormat="0" applyAlignment="0" applyProtection="0"/>
    <xf numFmtId="0" fontId="24" fillId="7" borderId="87" applyNumberFormat="0" applyAlignment="0" applyProtection="0"/>
    <xf numFmtId="0" fontId="24" fillId="7" borderId="276" applyNumberFormat="0" applyAlignment="0" applyProtection="0"/>
    <xf numFmtId="0" fontId="24" fillId="7" borderId="229"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195" applyNumberFormat="0" applyAlignment="0" applyProtection="0"/>
    <xf numFmtId="0" fontId="24" fillId="7" borderId="87" applyNumberFormat="0" applyAlignment="0" applyProtection="0"/>
    <xf numFmtId="0" fontId="24" fillId="7" borderId="87" applyNumberFormat="0" applyAlignment="0" applyProtection="0"/>
    <xf numFmtId="0" fontId="24" fillId="7" borderId="182" applyNumberFormat="0" applyAlignment="0" applyProtection="0"/>
    <xf numFmtId="0" fontId="24" fillId="7" borderId="269" applyNumberFormat="0" applyAlignment="0" applyProtection="0"/>
    <xf numFmtId="0" fontId="24" fillId="7" borderId="87" applyNumberFormat="0" applyAlignment="0" applyProtection="0"/>
    <xf numFmtId="0" fontId="24" fillId="7" borderId="276" applyNumberFormat="0" applyAlignment="0" applyProtection="0"/>
    <xf numFmtId="0" fontId="27" fillId="0" borderId="340" applyNumberFormat="0" applyFill="0" applyAlignment="0" applyProtection="0"/>
    <xf numFmtId="0" fontId="24" fillId="7" borderId="87" applyNumberFormat="0" applyAlignment="0" applyProtection="0"/>
    <xf numFmtId="0" fontId="24" fillId="7" borderId="363" applyNumberFormat="0" applyAlignment="0" applyProtection="0"/>
    <xf numFmtId="0" fontId="24" fillId="7" borderId="276" applyNumberFormat="0" applyAlignment="0" applyProtection="0"/>
    <xf numFmtId="0" fontId="24" fillId="7" borderId="323"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8" fillId="26" borderId="352" applyNumberFormat="0" applyAlignment="0" applyProtection="0"/>
    <xf numFmtId="0" fontId="28" fillId="26" borderId="365" applyNumberFormat="0" applyAlignment="0" applyProtection="0"/>
    <xf numFmtId="0" fontId="10" fillId="26" borderId="271" applyNumberFormat="0" applyFont="0" applyAlignment="0" applyProtection="0"/>
    <xf numFmtId="0" fontId="50" fillId="23" borderId="170" applyFill="0">
      <alignment horizontal="center" vertical="center" wrapText="1"/>
    </xf>
    <xf numFmtId="0" fontId="24" fillId="7" borderId="195" applyNumberFormat="0" applyAlignment="0" applyProtection="0"/>
    <xf numFmtId="0" fontId="24" fillId="7" borderId="209" applyNumberFormat="0" applyAlignment="0" applyProtection="0"/>
    <xf numFmtId="164" fontId="95" fillId="37" borderId="187">
      <alignment horizontal="right" vertical="center"/>
    </xf>
    <xf numFmtId="0" fontId="24" fillId="7" borderId="276" applyNumberFormat="0" applyAlignment="0" applyProtection="0"/>
    <xf numFmtId="0" fontId="24" fillId="7" borderId="182" applyNumberFormat="0" applyAlignment="0" applyProtection="0"/>
    <xf numFmtId="0" fontId="28" fillId="26" borderId="184" applyNumberFormat="0" applyAlignment="0" applyProtection="0"/>
    <xf numFmtId="0" fontId="24" fillId="7" borderId="229" applyNumberFormat="0" applyAlignment="0" applyProtection="0"/>
    <xf numFmtId="0" fontId="24" fillId="7" borderId="182" applyNumberFormat="0" applyAlignment="0" applyProtection="0"/>
    <xf numFmtId="0" fontId="24" fillId="7" borderId="182" applyNumberFormat="0" applyAlignment="0" applyProtection="0"/>
    <xf numFmtId="0" fontId="24" fillId="7" borderId="276" applyNumberFormat="0" applyAlignment="0" applyProtection="0"/>
    <xf numFmtId="0" fontId="24" fillId="7" borderId="383" applyNumberFormat="0" applyAlignment="0" applyProtection="0"/>
    <xf numFmtId="0" fontId="24" fillId="7" borderId="289" applyNumberFormat="0" applyAlignment="0" applyProtection="0"/>
    <xf numFmtId="0" fontId="24" fillId="7" borderId="229" applyNumberFormat="0" applyAlignment="0" applyProtection="0"/>
    <xf numFmtId="0" fontId="34" fillId="20" borderId="121" applyNumberFormat="0" applyAlignment="0" applyProtection="0"/>
    <xf numFmtId="0" fontId="50" fillId="23" borderId="183" applyFill="0">
      <alignment horizontal="center" vertical="center" wrapText="1"/>
    </xf>
    <xf numFmtId="0" fontId="34" fillId="20" borderId="182" applyNumberFormat="0" applyAlignment="0" applyProtection="0"/>
    <xf numFmtId="0" fontId="24" fillId="7" borderId="289" applyNumberFormat="0" applyAlignment="0" applyProtection="0"/>
    <xf numFmtId="0" fontId="24" fillId="7" borderId="289" applyNumberFormat="0" applyAlignment="0" applyProtection="0"/>
    <xf numFmtId="0" fontId="24" fillId="7" borderId="276" applyNumberFormat="0" applyAlignment="0" applyProtection="0"/>
    <xf numFmtId="0" fontId="26" fillId="20" borderId="373" applyNumberFormat="0" applyAlignment="0" applyProtection="0"/>
    <xf numFmtId="0" fontId="24" fillId="7" borderId="323" applyNumberFormat="0" applyAlignment="0" applyProtection="0"/>
    <xf numFmtId="0" fontId="24" fillId="7" borderId="209" applyNumberFormat="0" applyAlignment="0" applyProtection="0"/>
    <xf numFmtId="0" fontId="24" fillId="7" borderId="202" applyNumberFormat="0" applyAlignment="0" applyProtection="0"/>
    <xf numFmtId="0" fontId="24" fillId="7" borderId="195" applyNumberFormat="0" applyAlignment="0" applyProtection="0"/>
    <xf numFmtId="0" fontId="24" fillId="7" borderId="276" applyNumberFormat="0" applyAlignment="0" applyProtection="0"/>
    <xf numFmtId="0" fontId="34" fillId="20" borderId="229" applyNumberFormat="0" applyAlignment="0" applyProtection="0"/>
    <xf numFmtId="0" fontId="24" fillId="7" borderId="370" applyNumberFormat="0" applyAlignment="0" applyProtection="0"/>
    <xf numFmtId="0" fontId="24" fillId="7" borderId="296" applyNumberFormat="0" applyAlignment="0" applyProtection="0"/>
    <xf numFmtId="0" fontId="24" fillId="7" borderId="276" applyNumberFormat="0" applyAlignment="0" applyProtection="0"/>
    <xf numFmtId="0" fontId="24" fillId="7" borderId="182" applyNumberFormat="0" applyAlignment="0" applyProtection="0"/>
    <xf numFmtId="0" fontId="24" fillId="7" borderId="195" applyNumberFormat="0" applyAlignment="0" applyProtection="0"/>
    <xf numFmtId="0" fontId="24" fillId="7" borderId="229" applyNumberFormat="0" applyAlignment="0" applyProtection="0"/>
    <xf numFmtId="0" fontId="24" fillId="7" borderId="87" applyNumberFormat="0" applyAlignment="0" applyProtection="0"/>
    <xf numFmtId="0" fontId="24" fillId="7" borderId="87" applyNumberFormat="0" applyAlignment="0" applyProtection="0"/>
    <xf numFmtId="0" fontId="24" fillId="7" borderId="182" applyNumberFormat="0" applyAlignment="0" applyProtection="0"/>
    <xf numFmtId="0" fontId="24" fillId="7" borderId="182" applyNumberFormat="0" applyAlignment="0" applyProtection="0"/>
    <xf numFmtId="0" fontId="24" fillId="7" borderId="370" applyNumberFormat="0" applyAlignment="0" applyProtection="0"/>
    <xf numFmtId="0" fontId="24" fillId="7" borderId="182" applyNumberFormat="0" applyAlignment="0" applyProtection="0"/>
    <xf numFmtId="0" fontId="24" fillId="7" borderId="87" applyNumberFormat="0" applyAlignment="0" applyProtection="0"/>
    <xf numFmtId="0" fontId="24" fillId="7" borderId="87" applyNumberFormat="0" applyAlignment="0" applyProtection="0"/>
    <xf numFmtId="0" fontId="28" fillId="26" borderId="231" applyNumberFormat="0" applyAlignment="0" applyProtection="0"/>
    <xf numFmtId="0" fontId="24" fillId="7" borderId="182" applyNumberFormat="0" applyAlignment="0" applyProtection="0"/>
    <xf numFmtId="0" fontId="24" fillId="7" borderId="276" applyNumberFormat="0" applyAlignment="0" applyProtection="0"/>
    <xf numFmtId="0" fontId="24" fillId="7" borderId="323" applyNumberFormat="0" applyAlignment="0" applyProtection="0"/>
    <xf numFmtId="0" fontId="50" fillId="23" borderId="217" applyFill="0">
      <alignment horizontal="center" vertical="center" wrapText="1"/>
    </xf>
    <xf numFmtId="0" fontId="24" fillId="7" borderId="135" applyNumberFormat="0" applyAlignment="0" applyProtection="0"/>
    <xf numFmtId="0" fontId="24" fillId="7" borderId="135" applyNumberFormat="0" applyAlignment="0" applyProtection="0"/>
    <xf numFmtId="186" fontId="14" fillId="0" borderId="275" applyFont="0" applyFill="0" applyBorder="0" applyAlignment="0" applyProtection="0"/>
    <xf numFmtId="0" fontId="24" fillId="7" borderId="229" applyNumberFormat="0" applyAlignment="0" applyProtection="0"/>
    <xf numFmtId="0" fontId="34" fillId="20" borderId="323" applyNumberFormat="0" applyAlignment="0" applyProtection="0"/>
    <xf numFmtId="0" fontId="50" fillId="23" borderId="136" applyFill="0">
      <alignment horizontal="center" vertical="center" wrapText="1"/>
    </xf>
    <xf numFmtId="0" fontId="28" fillId="26" borderId="231" applyNumberFormat="0" applyAlignment="0" applyProtection="0"/>
    <xf numFmtId="164" fontId="95" fillId="37" borderId="328">
      <alignment horizontal="right" vertical="center"/>
    </xf>
    <xf numFmtId="164" fontId="95" fillId="37" borderId="281">
      <alignment horizontal="right" vertical="center"/>
    </xf>
    <xf numFmtId="0" fontId="24" fillId="7" borderId="155" applyNumberFormat="0" applyAlignment="0" applyProtection="0"/>
    <xf numFmtId="186" fontId="14" fillId="0" borderId="134" applyFont="0" applyFill="0" applyBorder="0" applyAlignment="0" applyProtection="0"/>
    <xf numFmtId="0" fontId="34" fillId="20" borderId="229" applyNumberFormat="0" applyAlignment="0" applyProtection="0"/>
    <xf numFmtId="0" fontId="24" fillId="7" borderId="182" applyNumberFormat="0" applyAlignment="0" applyProtection="0"/>
    <xf numFmtId="0" fontId="24" fillId="7" borderId="148" applyNumberFormat="0" applyAlignment="0" applyProtection="0"/>
    <xf numFmtId="0" fontId="14" fillId="23" borderId="176" applyFill="0">
      <alignment horizontal="center" vertical="center" wrapText="1"/>
    </xf>
    <xf numFmtId="0" fontId="44" fillId="0" borderId="0"/>
    <xf numFmtId="0" fontId="24" fillId="7" borderId="229" applyNumberFormat="0" applyAlignment="0" applyProtection="0"/>
    <xf numFmtId="0" fontId="24" fillId="7" borderId="121" applyNumberFormat="0" applyAlignment="0" applyProtection="0"/>
    <xf numFmtId="9" fontId="18" fillId="0" borderId="0" applyFont="0" applyFill="0" applyBorder="0" applyAlignment="0" applyProtection="0"/>
    <xf numFmtId="0" fontId="24" fillId="7" borderId="100" applyNumberFormat="0" applyAlignment="0" applyProtection="0"/>
    <xf numFmtId="0" fontId="24" fillId="7" borderId="100" applyNumberFormat="0" applyAlignment="0" applyProtection="0"/>
    <xf numFmtId="0" fontId="24" fillId="7" borderId="114" applyNumberFormat="0" applyAlignment="0" applyProtection="0"/>
    <xf numFmtId="0" fontId="24" fillId="7" borderId="127" applyNumberFormat="0" applyAlignment="0" applyProtection="0"/>
    <xf numFmtId="0" fontId="24" fillId="7" borderId="100" applyNumberFormat="0" applyAlignment="0" applyProtection="0"/>
    <xf numFmtId="0" fontId="28" fillId="26" borderId="129" applyNumberFormat="0" applyAlignment="0" applyProtection="0"/>
    <xf numFmtId="0" fontId="24" fillId="7" borderId="100" applyNumberFormat="0" applyAlignment="0" applyProtection="0"/>
    <xf numFmtId="0" fontId="24" fillId="7" borderId="107"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21" applyNumberFormat="0" applyAlignment="0" applyProtection="0"/>
    <xf numFmtId="0" fontId="49" fillId="23" borderId="115" applyFill="0">
      <alignment horizontal="center" vertical="center" wrapText="1"/>
    </xf>
    <xf numFmtId="0" fontId="24" fillId="7" borderId="127" applyNumberFormat="0" applyAlignment="0" applyProtection="0"/>
    <xf numFmtId="0" fontId="24" fillId="7" borderId="127" applyNumberFormat="0" applyAlignment="0" applyProtection="0"/>
    <xf numFmtId="0" fontId="24" fillId="7" borderId="100" applyNumberFormat="0" applyAlignment="0" applyProtection="0"/>
    <xf numFmtId="164" fontId="17" fillId="38" borderId="119">
      <alignment horizontal="left" vertical="center"/>
    </xf>
    <xf numFmtId="0" fontId="34" fillId="20" borderId="127" applyNumberFormat="0" applyAlignment="0" applyProtection="0"/>
    <xf numFmtId="0" fontId="28" fillId="26" borderId="102" applyNumberFormat="0" applyAlignment="0" applyProtection="0"/>
    <xf numFmtId="0" fontId="10" fillId="26" borderId="89" applyNumberFormat="0" applyFont="0" applyAlignment="0" applyProtection="0"/>
    <xf numFmtId="0" fontId="24" fillId="7" borderId="121" applyNumberFormat="0" applyAlignment="0" applyProtection="0"/>
    <xf numFmtId="0" fontId="24" fillId="7" borderId="121" applyNumberFormat="0" applyAlignment="0" applyProtection="0"/>
    <xf numFmtId="0" fontId="24" fillId="7" borderId="148" applyNumberFormat="0" applyAlignment="0" applyProtection="0"/>
    <xf numFmtId="186" fontId="14" fillId="0" borderId="113" applyFont="0" applyFill="0" applyBorder="0" applyAlignment="0" applyProtection="0"/>
    <xf numFmtId="0" fontId="24" fillId="7" borderId="107" applyNumberFormat="0" applyAlignment="0" applyProtection="0"/>
    <xf numFmtId="0" fontId="24" fillId="7" borderId="107" applyNumberFormat="0" applyAlignment="0" applyProtection="0"/>
    <xf numFmtId="0" fontId="14" fillId="23" borderId="95" applyFill="0">
      <alignment horizontal="center" vertical="center" wrapText="1"/>
    </xf>
    <xf numFmtId="0" fontId="24" fillId="7" borderId="127" applyNumberFormat="0" applyAlignment="0" applyProtection="0"/>
    <xf numFmtId="0" fontId="24" fillId="7" borderId="127" applyNumberFormat="0" applyAlignment="0" applyProtection="0"/>
    <xf numFmtId="0" fontId="10" fillId="0" borderId="86" applyFont="0" applyFill="0" applyBorder="0" applyAlignment="0" applyProtection="0"/>
    <xf numFmtId="170" fontId="10" fillId="0" borderId="86" applyFont="0" applyFill="0" applyBorder="0" applyAlignment="0" applyProtection="0"/>
    <xf numFmtId="164" fontId="17" fillId="36" borderId="112">
      <alignment horizontal="center" vertical="center"/>
    </xf>
    <xf numFmtId="0" fontId="24" fillId="7" borderId="121" applyNumberFormat="0" applyAlignment="0" applyProtection="0"/>
    <xf numFmtId="164" fontId="17" fillId="38" borderId="92">
      <alignment horizontal="left" vertical="center"/>
    </xf>
    <xf numFmtId="0" fontId="24" fillId="7" borderId="100" applyNumberFormat="0" applyAlignment="0" applyProtection="0"/>
    <xf numFmtId="0" fontId="24" fillId="7" borderId="107" applyNumberFormat="0" applyAlignment="0" applyProtection="0"/>
    <xf numFmtId="0" fontId="24" fillId="7" borderId="107" applyNumberFormat="0" applyAlignment="0" applyProtection="0"/>
    <xf numFmtId="0" fontId="24" fillId="7" borderId="100" applyNumberFormat="0" applyAlignment="0" applyProtection="0"/>
    <xf numFmtId="0" fontId="24" fillId="7" borderId="114" applyNumberFormat="0" applyAlignment="0" applyProtection="0"/>
    <xf numFmtId="0" fontId="24" fillId="7" borderId="114" applyNumberFormat="0" applyAlignment="0" applyProtection="0"/>
    <xf numFmtId="0" fontId="49" fillId="23" borderId="101" applyFill="0">
      <alignment horizontal="center" vertical="center" wrapText="1"/>
    </xf>
    <xf numFmtId="0" fontId="24" fillId="7" borderId="114" applyNumberFormat="0" applyAlignment="0" applyProtection="0"/>
    <xf numFmtId="0" fontId="24" fillId="7" borderId="114" applyNumberFormat="0" applyAlignment="0" applyProtection="0"/>
    <xf numFmtId="164" fontId="17" fillId="36" borderId="98">
      <alignment horizontal="center" vertical="center"/>
    </xf>
    <xf numFmtId="0" fontId="28" fillId="26" borderId="123" applyNumberFormat="0" applyAlignment="0" applyProtection="0"/>
    <xf numFmtId="0" fontId="10" fillId="26" borderId="102" applyNumberFormat="0" applyFont="0" applyAlignment="0" applyProtection="0"/>
    <xf numFmtId="0" fontId="24" fillId="7" borderId="127" applyNumberFormat="0" applyAlignment="0" applyProtection="0"/>
    <xf numFmtId="186" fontId="14" fillId="0" borderId="126" applyFont="0" applyFill="0" applyBorder="0" applyAlignment="0" applyProtection="0"/>
    <xf numFmtId="164" fontId="17" fillId="38" borderId="105">
      <alignment horizontal="left" vertical="center"/>
    </xf>
    <xf numFmtId="0" fontId="50" fillId="23" borderId="115" applyFill="0">
      <alignment horizontal="center" vertical="center" wrapText="1"/>
    </xf>
    <xf numFmtId="0" fontId="26" fillId="20" borderId="130"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14" applyNumberFormat="0" applyAlignment="0" applyProtection="0"/>
    <xf numFmtId="0" fontId="24" fillId="7" borderId="127" applyNumberFormat="0" applyAlignment="0" applyProtection="0"/>
    <xf numFmtId="0" fontId="14" fillId="23" borderId="88" applyFill="0">
      <alignment horizontal="center" vertical="center" wrapText="1"/>
    </xf>
    <xf numFmtId="0" fontId="34" fillId="20" borderId="127" applyNumberFormat="0" applyAlignment="0" applyProtection="0"/>
    <xf numFmtId="0" fontId="26" fillId="20" borderId="117" applyNumberFormat="0" applyAlignment="0" applyProtection="0"/>
    <xf numFmtId="0" fontId="24" fillId="7" borderId="127" applyNumberFormat="0" applyAlignment="0" applyProtection="0"/>
    <xf numFmtId="0" fontId="50" fillId="23" borderId="101" applyFill="0">
      <alignment horizontal="center" vertical="center" wrapText="1"/>
    </xf>
    <xf numFmtId="0" fontId="24" fillId="7" borderId="107" applyNumberFormat="0" applyAlignment="0" applyProtection="0"/>
    <xf numFmtId="0" fontId="24" fillId="7" borderId="127" applyNumberFormat="0" applyAlignment="0" applyProtection="0"/>
    <xf numFmtId="0" fontId="24" fillId="7" borderId="114" applyNumberFormat="0" applyAlignment="0" applyProtection="0"/>
    <xf numFmtId="0" fontId="34" fillId="20" borderId="107" applyNumberFormat="0" applyAlignment="0" applyProtection="0"/>
    <xf numFmtId="0" fontId="24" fillId="7" borderId="121" applyNumberFormat="0" applyAlignment="0" applyProtection="0"/>
    <xf numFmtId="0" fontId="24" fillId="7" borderId="127" applyNumberFormat="0" applyAlignment="0" applyProtection="0"/>
    <xf numFmtId="186" fontId="14" fillId="0" borderId="93" applyFont="0" applyFill="0" applyBorder="0" applyAlignment="0" applyProtection="0"/>
    <xf numFmtId="0" fontId="24" fillId="7" borderId="121" applyNumberFormat="0" applyAlignment="0" applyProtection="0"/>
    <xf numFmtId="0" fontId="24" fillId="7" borderId="114" applyNumberFormat="0" applyAlignment="0" applyProtection="0"/>
    <xf numFmtId="0" fontId="24" fillId="7" borderId="107" applyNumberFormat="0" applyAlignment="0" applyProtection="0"/>
    <xf numFmtId="0" fontId="24" fillId="7" borderId="114" applyNumberFormat="0" applyAlignment="0" applyProtection="0"/>
    <xf numFmtId="0" fontId="24" fillId="7" borderId="114" applyNumberFormat="0" applyAlignment="0" applyProtection="0"/>
    <xf numFmtId="0" fontId="24" fillId="7" borderId="114" applyNumberFormat="0" applyAlignment="0" applyProtection="0"/>
    <xf numFmtId="0" fontId="14" fillId="23" borderId="115" applyFill="0">
      <alignment horizontal="center" vertical="center" wrapText="1"/>
    </xf>
    <xf numFmtId="0" fontId="24" fillId="7" borderId="114" applyNumberFormat="0" applyAlignment="0" applyProtection="0"/>
    <xf numFmtId="0" fontId="28" fillId="26" borderId="129" applyNumberFormat="0" applyAlignment="0" applyProtection="0"/>
    <xf numFmtId="0" fontId="10" fillId="0" borderId="126" applyFont="0" applyFill="0" applyBorder="0" applyAlignment="0" applyProtection="0"/>
    <xf numFmtId="0" fontId="34" fillId="20" borderId="87" applyNumberFormat="0" applyAlignment="0" applyProtection="0"/>
    <xf numFmtId="0" fontId="26" fillId="20" borderId="130" applyNumberFormat="0" applyAlignment="0" applyProtection="0"/>
    <xf numFmtId="0" fontId="34" fillId="20" borderId="100" applyNumberFormat="0" applyAlignment="0" applyProtection="0"/>
    <xf numFmtId="0" fontId="24" fillId="7" borderId="127" applyNumberFormat="0" applyAlignment="0" applyProtection="0"/>
    <xf numFmtId="0" fontId="24" fillId="7" borderId="127" applyNumberFormat="0" applyAlignment="0" applyProtection="0"/>
    <xf numFmtId="0" fontId="24" fillId="7" borderId="87" applyNumberFormat="0" applyAlignment="0" applyProtection="0"/>
    <xf numFmtId="0" fontId="24" fillId="7" borderId="87" applyNumberFormat="0" applyAlignment="0" applyProtection="0"/>
    <xf numFmtId="0" fontId="24" fillId="7" borderId="87" applyNumberFormat="0" applyAlignment="0" applyProtection="0"/>
    <xf numFmtId="0" fontId="24" fillId="7" borderId="100" applyNumberFormat="0" applyAlignment="0" applyProtection="0"/>
    <xf numFmtId="0" fontId="26" fillId="20" borderId="103" applyNumberFormat="0" applyAlignment="0" applyProtection="0"/>
    <xf numFmtId="0" fontId="26" fillId="20" borderId="90" applyNumberFormat="0" applyAlignment="0" applyProtection="0"/>
    <xf numFmtId="0" fontId="24" fillId="7" borderId="127" applyNumberFormat="0" applyAlignment="0" applyProtection="0"/>
    <xf numFmtId="0" fontId="27" fillId="0" borderId="91" applyNumberFormat="0" applyFill="0" applyAlignment="0" applyProtection="0"/>
    <xf numFmtId="0" fontId="24" fillId="7" borderId="121" applyNumberFormat="0" applyAlignment="0" applyProtection="0"/>
    <xf numFmtId="164" fontId="17" fillId="36" borderId="92">
      <alignment horizontal="center" vertical="center"/>
    </xf>
    <xf numFmtId="0" fontId="24" fillId="7" borderId="100" applyNumberFormat="0" applyAlignment="0" applyProtection="0"/>
    <xf numFmtId="0" fontId="28" fillId="26" borderId="109" applyNumberFormat="0" applyAlignment="0" applyProtection="0"/>
    <xf numFmtId="164" fontId="95" fillId="37" borderId="84">
      <alignment horizontal="right" vertical="center"/>
    </xf>
    <xf numFmtId="164" fontId="17" fillId="36" borderId="119">
      <alignment horizontal="center" vertical="center"/>
    </xf>
    <xf numFmtId="0" fontId="24" fillId="7" borderId="114" applyNumberFormat="0" applyAlignment="0" applyProtection="0"/>
    <xf numFmtId="0" fontId="26" fillId="20" borderId="117" applyNumberFormat="0" applyAlignment="0" applyProtection="0"/>
    <xf numFmtId="0" fontId="26" fillId="20" borderId="103" applyNumberFormat="0" applyAlignment="0" applyProtection="0"/>
    <xf numFmtId="164" fontId="17" fillId="38" borderId="84">
      <alignment horizontal="left" vertical="center"/>
    </xf>
    <xf numFmtId="0" fontId="24" fillId="7" borderId="100" applyNumberFormat="0" applyAlignment="0" applyProtection="0"/>
    <xf numFmtId="0" fontId="24" fillId="7" borderId="127" applyNumberFormat="0" applyAlignment="0" applyProtection="0"/>
    <xf numFmtId="170" fontId="10" fillId="0" borderId="120" applyFont="0" applyFill="0" applyBorder="0" applyAlignment="0" applyProtection="0"/>
    <xf numFmtId="0" fontId="34" fillId="20" borderId="127" applyNumberFormat="0" applyAlignment="0" applyProtection="0"/>
    <xf numFmtId="0" fontId="24" fillId="7" borderId="121" applyNumberFormat="0" applyAlignment="0" applyProtection="0"/>
    <xf numFmtId="0" fontId="24" fillId="7" borderId="127" applyNumberFormat="0" applyAlignment="0" applyProtection="0"/>
    <xf numFmtId="0" fontId="50" fillId="23" borderId="101" applyFill="0">
      <alignment horizontal="center" vertical="center" wrapText="1"/>
    </xf>
    <xf numFmtId="0" fontId="24" fillId="7" borderId="229" applyNumberFormat="0" applyAlignment="0" applyProtection="0"/>
    <xf numFmtId="0" fontId="10" fillId="26" borderId="109" applyNumberFormat="0" applyFont="0" applyAlignment="0" applyProtection="0"/>
    <xf numFmtId="0" fontId="24" fillId="7" borderId="127" applyNumberFormat="0" applyAlignment="0" applyProtection="0"/>
    <xf numFmtId="0" fontId="24" fillId="7" borderId="100" applyNumberFormat="0" applyAlignment="0" applyProtection="0"/>
    <xf numFmtId="0" fontId="24" fillId="7" borderId="94" applyNumberFormat="0" applyAlignment="0" applyProtection="0"/>
    <xf numFmtId="0" fontId="26" fillId="20" borderId="97" applyNumberFormat="0" applyAlignment="0" applyProtection="0"/>
    <xf numFmtId="0" fontId="28" fillId="26" borderId="96" applyNumberFormat="0" applyAlignment="0" applyProtection="0"/>
    <xf numFmtId="0" fontId="24" fillId="7" borderId="100" applyNumberFormat="0" applyAlignment="0" applyProtection="0"/>
    <xf numFmtId="0" fontId="28" fillId="26" borderId="96" applyNumberFormat="0" applyAlignment="0" applyProtection="0"/>
    <xf numFmtId="0" fontId="26" fillId="20" borderId="97" applyNumberFormat="0" applyAlignment="0" applyProtection="0"/>
    <xf numFmtId="0" fontId="24" fillId="7" borderId="127" applyNumberFormat="0" applyAlignment="0" applyProtection="0"/>
    <xf numFmtId="0" fontId="24" fillId="7" borderId="127" applyNumberFormat="0" applyAlignment="0" applyProtection="0"/>
    <xf numFmtId="0" fontId="24" fillId="7" borderId="94" applyNumberFormat="0" applyAlignment="0" applyProtection="0"/>
    <xf numFmtId="0" fontId="24" fillId="7" borderId="114" applyNumberFormat="0" applyAlignment="0" applyProtection="0"/>
    <xf numFmtId="0" fontId="24" fillId="7" borderId="100" applyNumberFormat="0" applyAlignment="0" applyProtection="0"/>
    <xf numFmtId="0" fontId="24" fillId="7" borderId="127" applyNumberFormat="0" applyAlignment="0" applyProtection="0"/>
    <xf numFmtId="170" fontId="10" fillId="0" borderId="113" applyFont="0" applyFill="0" applyBorder="0" applyAlignment="0" applyProtection="0"/>
    <xf numFmtId="0" fontId="50" fillId="23" borderId="95" applyFill="0">
      <alignment horizontal="center" vertical="center" wrapText="1"/>
    </xf>
    <xf numFmtId="0" fontId="24" fillId="7" borderId="127" applyNumberFormat="0" applyAlignment="0" applyProtection="0"/>
    <xf numFmtId="0" fontId="24" fillId="7" borderId="114" applyNumberFormat="0" applyAlignment="0" applyProtection="0"/>
    <xf numFmtId="0" fontId="24" fillId="7" borderId="107" applyNumberFormat="0" applyAlignment="0" applyProtection="0"/>
    <xf numFmtId="0" fontId="24" fillId="7" borderId="121" applyNumberFormat="0" applyAlignment="0" applyProtection="0"/>
    <xf numFmtId="0" fontId="24" fillId="7" borderId="107" applyNumberFormat="0" applyAlignment="0" applyProtection="0"/>
    <xf numFmtId="0" fontId="24" fillId="7" borderId="107" applyNumberFormat="0" applyAlignment="0" applyProtection="0"/>
    <xf numFmtId="0" fontId="14" fillId="23" borderId="108" applyFill="0">
      <alignment horizontal="center" vertical="center" wrapText="1"/>
    </xf>
    <xf numFmtId="0" fontId="24" fillId="7" borderId="100" applyNumberFormat="0" applyAlignment="0" applyProtection="0"/>
    <xf numFmtId="0" fontId="27" fillId="0" borderId="111" applyNumberFormat="0" applyFill="0" applyAlignment="0" applyProtection="0"/>
    <xf numFmtId="0" fontId="24" fillId="7" borderId="127" applyNumberFormat="0" applyAlignment="0" applyProtection="0"/>
    <xf numFmtId="0" fontId="24" fillId="7" borderId="121" applyNumberFormat="0" applyAlignment="0" applyProtection="0"/>
    <xf numFmtId="0" fontId="24" fillId="7" borderId="114" applyNumberFormat="0" applyAlignment="0" applyProtection="0"/>
    <xf numFmtId="0" fontId="34" fillId="20" borderId="107" applyNumberFormat="0" applyAlignment="0" applyProtection="0"/>
    <xf numFmtId="0" fontId="34" fillId="20" borderId="94" applyNumberFormat="0" applyAlignment="0" applyProtection="0"/>
    <xf numFmtId="0" fontId="24" fillId="7" borderId="127" applyNumberFormat="0" applyAlignment="0" applyProtection="0"/>
    <xf numFmtId="0" fontId="50" fillId="23" borderId="95" applyFill="0">
      <alignment horizontal="center" vertical="center" wrapText="1"/>
    </xf>
    <xf numFmtId="0" fontId="24" fillId="7" borderId="114" applyNumberFormat="0" applyAlignment="0" applyProtection="0"/>
    <xf numFmtId="0" fontId="24" fillId="7" borderId="94" applyNumberFormat="0" applyAlignment="0" applyProtection="0"/>
    <xf numFmtId="0" fontId="34" fillId="20" borderId="94" applyNumberFormat="0" applyAlignment="0" applyProtection="0"/>
    <xf numFmtId="0" fontId="34" fillId="20" borderId="100" applyNumberFormat="0" applyAlignment="0" applyProtection="0"/>
    <xf numFmtId="0" fontId="24" fillId="7" borderId="107" applyNumberFormat="0" applyAlignment="0" applyProtection="0"/>
    <xf numFmtId="0" fontId="50" fillId="23" borderId="108" applyFill="0">
      <alignment horizontal="center" vertical="center" wrapText="1"/>
    </xf>
    <xf numFmtId="0" fontId="24" fillId="7" borderId="127" applyNumberFormat="0" applyAlignment="0" applyProtection="0"/>
    <xf numFmtId="0" fontId="49" fillId="23" borderId="95" applyFill="0">
      <alignment horizontal="center" vertical="center" wrapText="1"/>
    </xf>
    <xf numFmtId="0" fontId="24" fillId="7" borderId="127" applyNumberFormat="0" applyAlignment="0" applyProtection="0"/>
    <xf numFmtId="0" fontId="24" fillId="7" borderId="94" applyNumberFormat="0" applyAlignment="0" applyProtection="0"/>
    <xf numFmtId="170" fontId="10" fillId="0" borderId="99" applyFont="0" applyFill="0" applyBorder="0" applyAlignment="0" applyProtection="0"/>
    <xf numFmtId="0" fontId="24" fillId="7" borderId="94" applyNumberFormat="0" applyAlignment="0" applyProtection="0"/>
    <xf numFmtId="0" fontId="24" fillId="7" borderId="94" applyNumberFormat="0" applyAlignment="0" applyProtection="0"/>
    <xf numFmtId="0" fontId="27" fillId="0" borderId="118" applyNumberFormat="0" applyFill="0" applyAlignment="0" applyProtection="0"/>
    <xf numFmtId="0" fontId="24" fillId="7" borderId="94" applyNumberFormat="0" applyAlignment="0" applyProtection="0"/>
    <xf numFmtId="164" fontId="17" fillId="36" borderId="105">
      <alignment horizontal="center" vertical="center"/>
    </xf>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107" applyNumberFormat="0" applyAlignment="0" applyProtection="0"/>
    <xf numFmtId="0" fontId="26" fillId="20" borderId="130" applyNumberFormat="0" applyAlignment="0" applyProtection="0"/>
    <xf numFmtId="0" fontId="24" fillId="7" borderId="114" applyNumberFormat="0" applyAlignment="0" applyProtection="0"/>
    <xf numFmtId="0" fontId="24" fillId="7" borderId="94" applyNumberFormat="0" applyAlignment="0" applyProtection="0"/>
    <xf numFmtId="0" fontId="24" fillId="7" borderId="107" applyNumberFormat="0" applyAlignment="0" applyProtection="0"/>
    <xf numFmtId="0" fontId="24" fillId="7" borderId="107" applyNumberFormat="0" applyAlignment="0" applyProtection="0"/>
    <xf numFmtId="0" fontId="24" fillId="7" borderId="94" applyNumberFormat="0" applyAlignment="0" applyProtection="0"/>
    <xf numFmtId="0" fontId="24" fillId="7" borderId="127" applyNumberFormat="0" applyAlignment="0" applyProtection="0"/>
    <xf numFmtId="0" fontId="24" fillId="7" borderId="127" applyNumberFormat="0" applyAlignment="0" applyProtection="0"/>
    <xf numFmtId="170" fontId="10" fillId="0" borderId="106" applyFont="0" applyFill="0" applyBorder="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121" applyNumberFormat="0" applyAlignment="0" applyProtection="0"/>
    <xf numFmtId="0" fontId="24" fillId="7" borderId="94" applyNumberFormat="0" applyAlignment="0" applyProtection="0"/>
    <xf numFmtId="0" fontId="24" fillId="7" borderId="107"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94" applyNumberFormat="0" applyAlignment="0" applyProtection="0"/>
    <xf numFmtId="0" fontId="24" fillId="7" borderId="114" applyNumberFormat="0" applyAlignment="0" applyProtection="0"/>
    <xf numFmtId="0" fontId="24" fillId="7" borderId="121" applyNumberFormat="0" applyAlignment="0" applyProtection="0"/>
    <xf numFmtId="0" fontId="24" fillId="7" borderId="114" applyNumberFormat="0" applyAlignment="0" applyProtection="0"/>
    <xf numFmtId="0" fontId="10" fillId="0" borderId="113" applyFont="0" applyFill="0" applyBorder="0" applyAlignment="0" applyProtection="0"/>
    <xf numFmtId="0" fontId="24" fillId="7" borderId="121" applyNumberFormat="0" applyAlignment="0" applyProtection="0"/>
    <xf numFmtId="0" fontId="49" fillId="23" borderId="122" applyFill="0">
      <alignment horizontal="center" vertical="center" wrapText="1"/>
    </xf>
    <xf numFmtId="164" fontId="17" fillId="38" borderId="98">
      <alignment horizontal="left" vertical="center"/>
    </xf>
    <xf numFmtId="0" fontId="24" fillId="7" borderId="114" applyNumberFormat="0" applyAlignment="0" applyProtection="0"/>
    <xf numFmtId="0" fontId="24" fillId="7" borderId="107" applyNumberFormat="0" applyAlignment="0" applyProtection="0"/>
    <xf numFmtId="0" fontId="24" fillId="7" borderId="127" applyNumberFormat="0" applyAlignment="0" applyProtection="0"/>
    <xf numFmtId="0" fontId="34" fillId="20" borderId="107" applyNumberFormat="0" applyAlignment="0" applyProtection="0"/>
    <xf numFmtId="0" fontId="27" fillId="0" borderId="131" applyNumberFormat="0" applyFill="0" applyAlignment="0" applyProtection="0"/>
    <xf numFmtId="0" fontId="24" fillId="7" borderId="121" applyNumberFormat="0" applyAlignment="0" applyProtection="0"/>
    <xf numFmtId="170" fontId="10" fillId="0" borderId="93" applyFont="0" applyFill="0" applyBorder="0" applyAlignment="0" applyProtection="0"/>
    <xf numFmtId="0" fontId="10" fillId="0" borderId="93" applyFont="0" applyFill="0" applyBorder="0" applyAlignment="0" applyProtection="0"/>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0" fontId="28" fillId="26" borderId="129" applyNumberFormat="0" applyAlignment="0" applyProtection="0"/>
    <xf numFmtId="0" fontId="24" fillId="7" borderId="127" applyNumberFormat="0" applyAlignment="0" applyProtection="0"/>
    <xf numFmtId="0" fontId="10" fillId="26" borderId="96" applyNumberFormat="0" applyFont="0" applyAlignment="0" applyProtection="0"/>
    <xf numFmtId="0" fontId="26" fillId="20" borderId="110" applyNumberFormat="0" applyAlignment="0" applyProtection="0"/>
    <xf numFmtId="0" fontId="10" fillId="26" borderId="116" applyNumberFormat="0" applyFont="0" applyAlignment="0" applyProtection="0"/>
    <xf numFmtId="0" fontId="10" fillId="26" borderId="123" applyNumberFormat="0" applyFont="0" applyAlignment="0" applyProtection="0"/>
    <xf numFmtId="0" fontId="24" fillId="7" borderId="107" applyNumberFormat="0" applyAlignment="0" applyProtection="0"/>
    <xf numFmtId="0" fontId="24" fillId="7" borderId="107" applyNumberFormat="0" applyAlignment="0" applyProtection="0"/>
    <xf numFmtId="0" fontId="24" fillId="7" borderId="107" applyNumberFormat="0" applyAlignment="0" applyProtection="0"/>
    <xf numFmtId="0" fontId="24" fillId="7" borderId="127" applyNumberFormat="0" applyAlignment="0" applyProtection="0"/>
    <xf numFmtId="0" fontId="50" fillId="23" borderId="115" applyFill="0">
      <alignment horizontal="center" vertical="center" wrapText="1"/>
    </xf>
    <xf numFmtId="0" fontId="24" fillId="7" borderId="107" applyNumberFormat="0" applyAlignment="0" applyProtection="0"/>
    <xf numFmtId="0" fontId="24" fillId="7" borderId="107" applyNumberFormat="0" applyAlignment="0" applyProtection="0"/>
    <xf numFmtId="0" fontId="24" fillId="7" borderId="127" applyNumberFormat="0" applyAlignment="0" applyProtection="0"/>
    <xf numFmtId="0" fontId="24" fillId="7" borderId="107" applyNumberFormat="0" applyAlignment="0" applyProtection="0"/>
    <xf numFmtId="164" fontId="17" fillId="36" borderId="125">
      <alignment horizontal="center" vertical="center"/>
    </xf>
    <xf numFmtId="0" fontId="24" fillId="7" borderId="107" applyNumberFormat="0" applyAlignment="0" applyProtection="0"/>
    <xf numFmtId="0" fontId="24" fillId="7" borderId="107"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27" applyNumberFormat="0" applyAlignment="0" applyProtection="0"/>
    <xf numFmtId="0" fontId="24" fillId="7" borderId="107" applyNumberFormat="0" applyAlignment="0" applyProtection="0"/>
    <xf numFmtId="0" fontId="26" fillId="20" borderId="117" applyNumberFormat="0" applyAlignment="0" applyProtection="0"/>
    <xf numFmtId="0" fontId="24" fillId="7" borderId="94" applyNumberFormat="0" applyAlignment="0" applyProtection="0"/>
    <xf numFmtId="0" fontId="24" fillId="7" borderId="94" applyNumberFormat="0" applyAlignment="0" applyProtection="0"/>
    <xf numFmtId="0" fontId="24" fillId="7" borderId="121" applyNumberFormat="0" applyAlignment="0" applyProtection="0"/>
    <xf numFmtId="0" fontId="24" fillId="7" borderId="94" applyNumberFormat="0" applyAlignment="0" applyProtection="0"/>
    <xf numFmtId="0" fontId="24" fillId="7" borderId="94" applyNumberFormat="0" applyAlignment="0" applyProtection="0"/>
    <xf numFmtId="0" fontId="24" fillId="7" borderId="127" applyNumberFormat="0" applyAlignment="0" applyProtection="0"/>
    <xf numFmtId="0" fontId="34" fillId="20" borderId="114" applyNumberFormat="0" applyAlignment="0" applyProtection="0"/>
    <xf numFmtId="0" fontId="24" fillId="7" borderId="127" applyNumberFormat="0" applyAlignment="0" applyProtection="0"/>
    <xf numFmtId="0" fontId="24" fillId="7" borderId="127" applyNumberFormat="0" applyAlignment="0" applyProtection="0"/>
    <xf numFmtId="0" fontId="10" fillId="0" borderId="99" applyFont="0" applyFill="0" applyBorder="0" applyAlignment="0" applyProtection="0"/>
    <xf numFmtId="0" fontId="34" fillId="20" borderId="114" applyNumberFormat="0" applyAlignment="0" applyProtection="0"/>
    <xf numFmtId="0" fontId="24" fillId="7" borderId="121" applyNumberFormat="0" applyAlignment="0" applyProtection="0"/>
    <xf numFmtId="0" fontId="24" fillId="7" borderId="114" applyNumberFormat="0" applyAlignment="0" applyProtection="0"/>
    <xf numFmtId="0" fontId="24" fillId="7" borderId="121" applyNumberFormat="0" applyAlignment="0" applyProtection="0"/>
    <xf numFmtId="0" fontId="24" fillId="7" borderId="100" applyNumberFormat="0" applyAlignment="0" applyProtection="0"/>
    <xf numFmtId="0" fontId="24" fillId="7" borderId="114"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00" applyNumberFormat="0" applyAlignment="0" applyProtection="0"/>
    <xf numFmtId="0" fontId="24" fillId="7" borderId="127" applyNumberFormat="0" applyAlignment="0" applyProtection="0"/>
    <xf numFmtId="0" fontId="26" fillId="20" borderId="124" applyNumberFormat="0" applyAlignment="0" applyProtection="0"/>
    <xf numFmtId="186" fontId="14" fillId="0" borderId="99" applyFont="0" applyFill="0" applyBorder="0" applyAlignment="0" applyProtection="0"/>
    <xf numFmtId="164" fontId="95" fillId="37" borderId="119">
      <alignment horizontal="right" vertical="center"/>
    </xf>
    <xf numFmtId="0" fontId="28" fillId="26" borderId="102" applyNumberFormat="0" applyAlignment="0" applyProtection="0"/>
    <xf numFmtId="0" fontId="34" fillId="20" borderId="100" applyNumberFormat="0" applyAlignment="0" applyProtection="0"/>
    <xf numFmtId="164" fontId="17" fillId="36" borderId="132">
      <alignment horizontal="center" vertical="center"/>
    </xf>
    <xf numFmtId="0" fontId="24" fillId="7" borderId="121" applyNumberFormat="0" applyAlignment="0" applyProtection="0"/>
    <xf numFmtId="0" fontId="34" fillId="20" borderId="114" applyNumberFormat="0" applyAlignment="0" applyProtection="0"/>
    <xf numFmtId="0" fontId="24" fillId="7" borderId="107" applyNumberFormat="0" applyAlignment="0" applyProtection="0"/>
    <xf numFmtId="0" fontId="26" fillId="20" borderId="110" applyNumberFormat="0" applyAlignment="0" applyProtection="0"/>
    <xf numFmtId="0" fontId="24" fillId="7" borderId="100" applyNumberFormat="0" applyAlignment="0" applyProtection="0"/>
    <xf numFmtId="0" fontId="24" fillId="7" borderId="100" applyNumberFormat="0" applyAlignment="0" applyProtection="0"/>
    <xf numFmtId="186" fontId="14" fillId="0" borderId="106" applyFont="0" applyFill="0" applyBorder="0" applyAlignment="0" applyProtection="0"/>
    <xf numFmtId="0" fontId="24" fillId="7" borderId="100" applyNumberFormat="0" applyAlignment="0" applyProtection="0"/>
    <xf numFmtId="0" fontId="24" fillId="7" borderId="100" applyNumberFormat="0" applyAlignment="0" applyProtection="0"/>
    <xf numFmtId="0" fontId="14" fillId="23" borderId="101" applyFill="0">
      <alignment horizontal="center" vertical="center" wrapText="1"/>
    </xf>
    <xf numFmtId="0" fontId="49" fillId="23" borderId="128" applyFill="0">
      <alignment horizontal="center" vertical="center" wrapText="1"/>
    </xf>
    <xf numFmtId="0" fontId="10" fillId="0" borderId="106" applyFont="0" applyFill="0" applyBorder="0" applyAlignment="0" applyProtection="0"/>
    <xf numFmtId="0" fontId="24" fillId="7" borderId="107" applyNumberFormat="0" applyAlignment="0" applyProtection="0"/>
    <xf numFmtId="0" fontId="24" fillId="7" borderId="107" applyNumberFormat="0" applyAlignment="0" applyProtection="0"/>
    <xf numFmtId="0" fontId="50" fillId="23" borderId="122" applyFill="0">
      <alignment horizontal="center" vertical="center" wrapText="1"/>
    </xf>
    <xf numFmtId="0" fontId="24" fillId="7" borderId="107" applyNumberFormat="0" applyAlignment="0" applyProtection="0"/>
    <xf numFmtId="0" fontId="24" fillId="7" borderId="107" applyNumberFormat="0" applyAlignment="0" applyProtection="0"/>
    <xf numFmtId="0" fontId="24" fillId="7" borderId="121" applyNumberFormat="0" applyAlignment="0" applyProtection="0"/>
    <xf numFmtId="0" fontId="49" fillId="23" borderId="108" applyFill="0">
      <alignment horizontal="center" vertical="center" wrapText="1"/>
    </xf>
    <xf numFmtId="0" fontId="24" fillId="7" borderId="121" applyNumberFormat="0" applyAlignment="0" applyProtection="0"/>
    <xf numFmtId="0" fontId="24" fillId="7" borderId="127" applyNumberFormat="0" applyAlignment="0" applyProtection="0"/>
    <xf numFmtId="0" fontId="50" fillId="23" borderId="108" applyFill="0">
      <alignment horizontal="center" vertical="center" wrapText="1"/>
    </xf>
    <xf numFmtId="0" fontId="10" fillId="26" borderId="129" applyNumberFormat="0" applyFont="0" applyAlignment="0" applyProtection="0"/>
    <xf numFmtId="0" fontId="24" fillId="7" borderId="114" applyNumberFormat="0" applyAlignment="0" applyProtection="0"/>
    <xf numFmtId="0" fontId="24" fillId="7" borderId="121" applyNumberFormat="0" applyAlignment="0" applyProtection="0"/>
    <xf numFmtId="0" fontId="26" fillId="20" borderId="110" applyNumberFormat="0" applyAlignment="0" applyProtection="0"/>
    <xf numFmtId="164" fontId="95" fillId="37" borderId="98">
      <alignment horizontal="right" vertical="center"/>
    </xf>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164" fontId="95" fillId="37" borderId="105">
      <alignment horizontal="right" vertical="center"/>
    </xf>
    <xf numFmtId="0" fontId="24" fillId="7" borderId="114" applyNumberFormat="0" applyAlignment="0" applyProtection="0"/>
    <xf numFmtId="0" fontId="24" fillId="7" borderId="121" applyNumberFormat="0" applyAlignment="0" applyProtection="0"/>
    <xf numFmtId="0" fontId="24" fillId="7" borderId="107" applyNumberFormat="0" applyAlignment="0" applyProtection="0"/>
    <xf numFmtId="0" fontId="24" fillId="7" borderId="107" applyNumberFormat="0" applyAlignment="0" applyProtection="0"/>
    <xf numFmtId="0" fontId="34" fillId="20" borderId="127" applyNumberFormat="0" applyAlignment="0" applyProtection="0"/>
    <xf numFmtId="0" fontId="50" fillId="23" borderId="128" applyFill="0">
      <alignment horizontal="center" vertical="center" wrapText="1"/>
    </xf>
    <xf numFmtId="0" fontId="24" fillId="7" borderId="127" applyNumberFormat="0" applyAlignment="0" applyProtection="0"/>
    <xf numFmtId="0" fontId="24" fillId="7" borderId="127" applyNumberFormat="0" applyAlignment="0" applyProtection="0"/>
    <xf numFmtId="0" fontId="24" fillId="7" borderId="114" applyNumberFormat="0" applyAlignment="0" applyProtection="0"/>
    <xf numFmtId="0" fontId="24" fillId="7" borderId="127" applyNumberFormat="0" applyAlignment="0" applyProtection="0"/>
    <xf numFmtId="0" fontId="24" fillId="7" borderId="114" applyNumberFormat="0" applyAlignment="0" applyProtection="0"/>
    <xf numFmtId="0" fontId="24" fillId="7" borderId="114" applyNumberFormat="0" applyAlignment="0" applyProtection="0"/>
    <xf numFmtId="0" fontId="24" fillId="7" borderId="114" applyNumberFormat="0" applyAlignment="0" applyProtection="0"/>
    <xf numFmtId="0" fontId="28" fillId="26" borderId="164" applyNumberFormat="0" applyAlignment="0" applyProtection="0"/>
    <xf numFmtId="0" fontId="34" fillId="20" borderId="121" applyNumberFormat="0" applyAlignment="0" applyProtection="0"/>
    <xf numFmtId="0" fontId="24" fillId="7" borderId="127" applyNumberFormat="0" applyAlignment="0" applyProtection="0"/>
    <xf numFmtId="0" fontId="24" fillId="7" borderId="127" applyNumberFormat="0" applyAlignment="0" applyProtection="0"/>
    <xf numFmtId="164" fontId="17" fillId="38" borderId="125">
      <alignment horizontal="left" vertical="center"/>
    </xf>
    <xf numFmtId="0" fontId="28" fillId="26" borderId="116" applyNumberFormat="0" applyAlignment="0" applyProtection="0"/>
    <xf numFmtId="0" fontId="24" fillId="7" borderId="121" applyNumberFormat="0" applyAlignment="0" applyProtection="0"/>
    <xf numFmtId="0" fontId="24" fillId="7" borderId="127" applyNumberFormat="0" applyAlignment="0" applyProtection="0"/>
    <xf numFmtId="0" fontId="26" fillId="20" borderId="124" applyNumberFormat="0" applyAlignment="0" applyProtection="0"/>
    <xf numFmtId="0" fontId="24" fillId="7" borderId="121" applyNumberFormat="0" applyAlignment="0" applyProtection="0"/>
    <xf numFmtId="0" fontId="28" fillId="26" borderId="129" applyNumberFormat="0" applyAlignment="0" applyProtection="0"/>
    <xf numFmtId="0" fontId="24" fillId="7" borderId="114" applyNumberFormat="0" applyAlignment="0" applyProtection="0"/>
    <xf numFmtId="0" fontId="24" fillId="7" borderId="114" applyNumberFormat="0" applyAlignment="0" applyProtection="0"/>
    <xf numFmtId="0" fontId="26" fillId="20" borderId="130" applyNumberFormat="0" applyAlignment="0" applyProtection="0"/>
    <xf numFmtId="0" fontId="24" fillId="7" borderId="114" applyNumberFormat="0" applyAlignment="0" applyProtection="0"/>
    <xf numFmtId="0" fontId="24" fillId="7" borderId="114" applyNumberFormat="0" applyAlignment="0" applyProtection="0"/>
    <xf numFmtId="0" fontId="34" fillId="20" borderId="127" applyNumberFormat="0" applyAlignment="0" applyProtection="0"/>
    <xf numFmtId="0" fontId="50" fillId="23" borderId="128" applyFill="0">
      <alignment horizontal="center" vertical="center" wrapText="1"/>
    </xf>
    <xf numFmtId="0" fontId="10" fillId="0" borderId="120" applyFont="0" applyFill="0" applyBorder="0" applyAlignment="0" applyProtection="0"/>
    <xf numFmtId="0" fontId="24" fillId="7" borderId="121" applyNumberFormat="0" applyAlignment="0" applyProtection="0"/>
    <xf numFmtId="0" fontId="24" fillId="7" borderId="121" applyNumberFormat="0" applyAlignment="0" applyProtection="0"/>
    <xf numFmtId="0" fontId="24" fillId="7" borderId="127" applyNumberFormat="0" applyAlignment="0" applyProtection="0"/>
    <xf numFmtId="0" fontId="24" fillId="7" borderId="121" applyNumberFormat="0" applyAlignment="0" applyProtection="0"/>
    <xf numFmtId="0" fontId="24" fillId="7" borderId="121" applyNumberFormat="0" applyAlignment="0" applyProtection="0"/>
    <xf numFmtId="186" fontId="14" fillId="0" borderId="120" applyFont="0" applyFill="0" applyBorder="0" applyAlignment="0" applyProtection="0"/>
    <xf numFmtId="0" fontId="24" fillId="7" borderId="127" applyNumberFormat="0" applyAlignment="0" applyProtection="0"/>
    <xf numFmtId="170" fontId="10" fillId="0" borderId="126" applyFont="0" applyFill="0" applyBorder="0" applyAlignment="0" applyProtection="0"/>
    <xf numFmtId="0" fontId="28" fillId="26" borderId="123" applyNumberFormat="0" applyAlignment="0" applyProtection="0"/>
    <xf numFmtId="0" fontId="24" fillId="7" borderId="127" applyNumberFormat="0" applyAlignment="0" applyProtection="0"/>
    <xf numFmtId="0" fontId="24" fillId="7" borderId="127" applyNumberFormat="0" applyAlignment="0" applyProtection="0"/>
    <xf numFmtId="0" fontId="24" fillId="7" borderId="121" applyNumberFormat="0" applyAlignment="0" applyProtection="0"/>
    <xf numFmtId="0" fontId="24" fillId="7" borderId="121" applyNumberFormat="0" applyAlignment="0" applyProtection="0"/>
    <xf numFmtId="0" fontId="24" fillId="7" borderId="121" applyNumberFormat="0" applyAlignment="0" applyProtection="0"/>
    <xf numFmtId="0" fontId="24" fillId="7" borderId="121" applyNumberFormat="0" applyAlignment="0" applyProtection="0"/>
    <xf numFmtId="0" fontId="14" fillId="23" borderId="122" applyFill="0">
      <alignment horizontal="center" vertical="center" wrapText="1"/>
    </xf>
    <xf numFmtId="0" fontId="24" fillId="7" borderId="127" applyNumberFormat="0" applyAlignment="0" applyProtection="0"/>
    <xf numFmtId="0" fontId="24" fillId="7" borderId="127" applyNumberFormat="0" applyAlignment="0" applyProtection="0"/>
    <xf numFmtId="0" fontId="50" fillId="23" borderId="128" applyFill="0">
      <alignment horizontal="center" vertical="center" wrapText="1"/>
    </xf>
    <xf numFmtId="0" fontId="24" fillId="7" borderId="127" applyNumberFormat="0" applyAlignment="0" applyProtection="0"/>
    <xf numFmtId="0" fontId="24" fillId="7" borderId="127" applyNumberFormat="0" applyAlignment="0" applyProtection="0"/>
    <xf numFmtId="0" fontId="26" fillId="20" borderId="130" applyNumberFormat="0" applyAlignment="0" applyProtection="0"/>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0" fontId="14" fillId="23" borderId="128" applyFill="0">
      <alignment horizontal="center" vertical="center" wrapText="1"/>
    </xf>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0" fontId="24" fillId="7" borderId="127" applyNumberFormat="0" applyAlignment="0" applyProtection="0"/>
    <xf numFmtId="0" fontId="49" fillId="23" borderId="128" applyFill="0">
      <alignment horizontal="center" vertical="center" wrapText="1"/>
    </xf>
    <xf numFmtId="0" fontId="50" fillId="23" borderId="128" applyFill="0">
      <alignment horizontal="center" vertical="center" wrapText="1"/>
    </xf>
    <xf numFmtId="164" fontId="95" fillId="37" borderId="125">
      <alignment horizontal="right" vertical="center"/>
    </xf>
    <xf numFmtId="0" fontId="24" fillId="7" borderId="127" applyNumberFormat="0" applyAlignment="0" applyProtection="0"/>
    <xf numFmtId="0" fontId="24" fillId="7" borderId="127" applyNumberFormat="0" applyAlignment="0" applyProtection="0"/>
    <xf numFmtId="0" fontId="24" fillId="7" borderId="390" applyNumberFormat="0" applyAlignment="0" applyProtection="0"/>
    <xf numFmtId="186" fontId="14" fillId="0" borderId="369" applyFont="0" applyFill="0" applyBorder="0" applyAlignment="0" applyProtection="0"/>
    <xf numFmtId="0" fontId="24" fillId="7" borderId="229" applyNumberFormat="0" applyAlignment="0" applyProtection="0"/>
    <xf numFmtId="0" fontId="24" fillId="7" borderId="229" applyNumberFormat="0" applyAlignment="0" applyProtection="0"/>
    <xf numFmtId="0" fontId="24" fillId="7" borderId="242" applyNumberFormat="0" applyAlignment="0" applyProtection="0"/>
    <xf numFmtId="0" fontId="24" fillId="7" borderId="229" applyNumberFormat="0" applyAlignment="0" applyProtection="0"/>
    <xf numFmtId="0" fontId="24" fillId="7" borderId="135" applyNumberFormat="0" applyAlignment="0" applyProtection="0"/>
    <xf numFmtId="0" fontId="24" fillId="7" borderId="135" applyNumberFormat="0" applyAlignment="0" applyProtection="0"/>
    <xf numFmtId="0" fontId="24" fillId="7" borderId="383" applyNumberFormat="0" applyAlignment="0" applyProtection="0"/>
    <xf numFmtId="0" fontId="24" fillId="7" borderId="229" applyNumberFormat="0" applyAlignment="0" applyProtection="0"/>
    <xf numFmtId="0" fontId="24" fillId="7" borderId="135" applyNumberFormat="0" applyAlignment="0" applyProtection="0"/>
    <xf numFmtId="0" fontId="24" fillId="7" borderId="135" applyNumberFormat="0" applyAlignment="0" applyProtection="0"/>
    <xf numFmtId="0" fontId="24" fillId="7" borderId="276" applyNumberFormat="0" applyAlignment="0" applyProtection="0"/>
    <xf numFmtId="0" fontId="24" fillId="7" borderId="323" applyNumberFormat="0" applyAlignment="0" applyProtection="0"/>
    <xf numFmtId="0" fontId="24" fillId="7" borderId="229" applyNumberFormat="0" applyAlignment="0" applyProtection="0"/>
    <xf numFmtId="0" fontId="26" fillId="20" borderId="279" applyNumberFormat="0" applyAlignment="0" applyProtection="0"/>
    <xf numFmtId="0" fontId="10" fillId="26" borderId="318" applyNumberFormat="0" applyFont="0" applyAlignment="0" applyProtection="0"/>
    <xf numFmtId="0" fontId="50" fillId="23" borderId="264" applyFill="0">
      <alignment horizontal="center" vertical="center" wrapText="1"/>
    </xf>
    <xf numFmtId="0" fontId="24" fillId="7" borderId="182" applyNumberFormat="0" applyAlignment="0" applyProtection="0"/>
    <xf numFmtId="0" fontId="24" fillId="7" borderId="182" applyNumberFormat="0" applyAlignment="0" applyProtection="0"/>
    <xf numFmtId="0" fontId="24" fillId="7" borderId="370" applyNumberFormat="0" applyAlignment="0" applyProtection="0"/>
    <xf numFmtId="0" fontId="24" fillId="7" borderId="276" applyNumberFormat="0" applyAlignment="0" applyProtection="0"/>
    <xf numFmtId="0" fontId="50" fillId="23" borderId="183" applyFill="0">
      <alignment horizontal="center" vertical="center" wrapText="1"/>
    </xf>
    <xf numFmtId="0" fontId="50" fillId="23" borderId="358" applyFill="0">
      <alignment horizontal="center" vertical="center" wrapText="1"/>
    </xf>
    <xf numFmtId="0" fontId="26" fillId="20" borderId="232" applyNumberFormat="0" applyAlignment="0" applyProtection="0"/>
    <xf numFmtId="0" fontId="24" fillId="7" borderId="229" applyNumberFormat="0" applyAlignment="0" applyProtection="0"/>
    <xf numFmtId="0" fontId="24" fillId="7" borderId="202" applyNumberFormat="0" applyAlignment="0" applyProtection="0"/>
    <xf numFmtId="186" fontId="14" fillId="0" borderId="181" applyFont="0" applyFill="0" applyBorder="0" applyAlignment="0" applyProtection="0"/>
    <xf numFmtId="0" fontId="24" fillId="7" borderId="370" applyNumberFormat="0" applyAlignment="0" applyProtection="0"/>
    <xf numFmtId="0" fontId="24" fillId="7" borderId="343" applyNumberFormat="0" applyAlignment="0" applyProtection="0"/>
    <xf numFmtId="0" fontId="24" fillId="7" borderId="229" applyNumberFormat="0" applyAlignment="0" applyProtection="0"/>
    <xf numFmtId="0" fontId="24" fillId="7" borderId="195" applyNumberFormat="0" applyAlignment="0" applyProtection="0"/>
    <xf numFmtId="0" fontId="24" fillId="7" borderId="229" applyNumberFormat="0" applyAlignment="0" applyProtection="0"/>
    <xf numFmtId="0" fontId="24" fillId="7" borderId="336" applyNumberFormat="0" applyAlignment="0" applyProtection="0"/>
    <xf numFmtId="0" fontId="44" fillId="0" borderId="0"/>
    <xf numFmtId="0" fontId="24" fillId="7" borderId="229" applyNumberFormat="0" applyAlignment="0" applyProtection="0"/>
    <xf numFmtId="9" fontId="18" fillId="0" borderId="0" applyFont="0" applyFill="0" applyBorder="0" applyAlignment="0" applyProtection="0"/>
    <xf numFmtId="0" fontId="24" fillId="7" borderId="148" applyNumberFormat="0" applyAlignment="0" applyProtection="0"/>
    <xf numFmtId="0" fontId="24" fillId="7" borderId="148" applyNumberFormat="0" applyAlignment="0" applyProtection="0"/>
    <xf numFmtId="0" fontId="24" fillId="7" borderId="162" applyNumberFormat="0" applyAlignment="0" applyProtection="0"/>
    <xf numFmtId="0" fontId="24" fillId="7" borderId="175" applyNumberFormat="0" applyAlignment="0" applyProtection="0"/>
    <xf numFmtId="0" fontId="24" fillId="7" borderId="148" applyNumberFormat="0" applyAlignment="0" applyProtection="0"/>
    <xf numFmtId="0" fontId="28" fillId="26" borderId="177" applyNumberFormat="0" applyAlignment="0" applyProtection="0"/>
    <xf numFmtId="0" fontId="24" fillId="7" borderId="148" applyNumberFormat="0" applyAlignment="0" applyProtection="0"/>
    <xf numFmtId="0" fontId="24" fillId="7" borderId="155"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69" applyNumberFormat="0" applyAlignment="0" applyProtection="0"/>
    <xf numFmtId="0" fontId="49" fillId="23" borderId="163" applyFill="0">
      <alignment horizontal="center" vertical="center" wrapText="1"/>
    </xf>
    <xf numFmtId="0" fontId="24" fillId="7" borderId="175" applyNumberFormat="0" applyAlignment="0" applyProtection="0"/>
    <xf numFmtId="0" fontId="24" fillId="7" borderId="175" applyNumberFormat="0" applyAlignment="0" applyProtection="0"/>
    <xf numFmtId="0" fontId="24" fillId="7" borderId="148" applyNumberFormat="0" applyAlignment="0" applyProtection="0"/>
    <xf numFmtId="164" fontId="17" fillId="38" borderId="167">
      <alignment horizontal="left" vertical="center"/>
    </xf>
    <xf numFmtId="0" fontId="34" fillId="20" borderId="175" applyNumberFormat="0" applyAlignment="0" applyProtection="0"/>
    <xf numFmtId="0" fontId="28" fillId="26" borderId="150" applyNumberFormat="0" applyAlignment="0" applyProtection="0"/>
    <xf numFmtId="0" fontId="10" fillId="26" borderId="137" applyNumberFormat="0" applyFont="0" applyAlignment="0" applyProtection="0"/>
    <xf numFmtId="0" fontId="24" fillId="7" borderId="169" applyNumberFormat="0" applyAlignment="0" applyProtection="0"/>
    <xf numFmtId="0" fontId="24" fillId="7" borderId="169" applyNumberFormat="0" applyAlignment="0" applyProtection="0"/>
    <xf numFmtId="0" fontId="24" fillId="7" borderId="195" applyNumberFormat="0" applyAlignment="0" applyProtection="0"/>
    <xf numFmtId="186" fontId="14" fillId="0" borderId="161" applyFont="0" applyFill="0" applyBorder="0" applyAlignment="0" applyProtection="0"/>
    <xf numFmtId="0" fontId="24" fillId="7" borderId="155" applyNumberFormat="0" applyAlignment="0" applyProtection="0"/>
    <xf numFmtId="0" fontId="24" fillId="7" borderId="155" applyNumberFormat="0" applyAlignment="0" applyProtection="0"/>
    <xf numFmtId="0" fontId="14" fillId="23" borderId="143" applyFill="0">
      <alignment horizontal="center" vertical="center" wrapText="1"/>
    </xf>
    <xf numFmtId="0" fontId="24" fillId="7" borderId="175" applyNumberFormat="0" applyAlignment="0" applyProtection="0"/>
    <xf numFmtId="0" fontId="24" fillId="7" borderId="175" applyNumberFormat="0" applyAlignment="0" applyProtection="0"/>
    <xf numFmtId="0" fontId="10" fillId="0" borderId="134" applyFont="0" applyFill="0" applyBorder="0" applyAlignment="0" applyProtection="0"/>
    <xf numFmtId="170" fontId="10" fillId="0" borderId="134" applyFont="0" applyFill="0" applyBorder="0" applyAlignment="0" applyProtection="0"/>
    <xf numFmtId="164" fontId="17" fillId="36" borderId="160">
      <alignment horizontal="center" vertical="center"/>
    </xf>
    <xf numFmtId="0" fontId="24" fillId="7" borderId="169" applyNumberFormat="0" applyAlignment="0" applyProtection="0"/>
    <xf numFmtId="164" fontId="17" fillId="38" borderId="140">
      <alignment horizontal="left" vertical="center"/>
    </xf>
    <xf numFmtId="0" fontId="24" fillId="7" borderId="148" applyNumberFormat="0" applyAlignment="0" applyProtection="0"/>
    <xf numFmtId="0" fontId="24" fillId="7" borderId="155" applyNumberFormat="0" applyAlignment="0" applyProtection="0"/>
    <xf numFmtId="0" fontId="24" fillId="7" borderId="155" applyNumberFormat="0" applyAlignment="0" applyProtection="0"/>
    <xf numFmtId="0" fontId="24" fillId="7" borderId="148" applyNumberFormat="0" applyAlignment="0" applyProtection="0"/>
    <xf numFmtId="0" fontId="24" fillId="7" borderId="162" applyNumberFormat="0" applyAlignment="0" applyProtection="0"/>
    <xf numFmtId="0" fontId="24" fillId="7" borderId="162" applyNumberFormat="0" applyAlignment="0" applyProtection="0"/>
    <xf numFmtId="0" fontId="49" fillId="23" borderId="149" applyFill="0">
      <alignment horizontal="center" vertical="center" wrapText="1"/>
    </xf>
    <xf numFmtId="0" fontId="24" fillId="7" borderId="162" applyNumberFormat="0" applyAlignment="0" applyProtection="0"/>
    <xf numFmtId="0" fontId="24" fillId="7" borderId="162" applyNumberFormat="0" applyAlignment="0" applyProtection="0"/>
    <xf numFmtId="164" fontId="17" fillId="36" borderId="146">
      <alignment horizontal="center" vertical="center"/>
    </xf>
    <xf numFmtId="0" fontId="28" fillId="26" borderId="171" applyNumberFormat="0" applyAlignment="0" applyProtection="0"/>
    <xf numFmtId="0" fontId="10" fillId="26" borderId="150" applyNumberFormat="0" applyFont="0" applyAlignment="0" applyProtection="0"/>
    <xf numFmtId="0" fontId="24" fillId="7" borderId="175" applyNumberFormat="0" applyAlignment="0" applyProtection="0"/>
    <xf numFmtId="186" fontId="14" fillId="0" borderId="174" applyFont="0" applyFill="0" applyBorder="0" applyAlignment="0" applyProtection="0"/>
    <xf numFmtId="164" fontId="17" fillId="38" borderId="153">
      <alignment horizontal="left" vertical="center"/>
    </xf>
    <xf numFmtId="0" fontId="50" fillId="23" borderId="163" applyFill="0">
      <alignment horizontal="center" vertical="center" wrapText="1"/>
    </xf>
    <xf numFmtId="0" fontId="26" fillId="20" borderId="178"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62" applyNumberFormat="0" applyAlignment="0" applyProtection="0"/>
    <xf numFmtId="0" fontId="24" fillId="7" borderId="175" applyNumberFormat="0" applyAlignment="0" applyProtection="0"/>
    <xf numFmtId="0" fontId="14" fillId="23" borderId="136" applyFill="0">
      <alignment horizontal="center" vertical="center" wrapText="1"/>
    </xf>
    <xf numFmtId="0" fontId="34" fillId="20" borderId="175" applyNumberFormat="0" applyAlignment="0" applyProtection="0"/>
    <xf numFmtId="0" fontId="26" fillId="20" borderId="165" applyNumberFormat="0" applyAlignment="0" applyProtection="0"/>
    <xf numFmtId="0" fontId="24" fillId="7" borderId="175" applyNumberFormat="0" applyAlignment="0" applyProtection="0"/>
    <xf numFmtId="0" fontId="50" fillId="23" borderId="149" applyFill="0">
      <alignment horizontal="center" vertical="center" wrapText="1"/>
    </xf>
    <xf numFmtId="0" fontId="24" fillId="7" borderId="155" applyNumberFormat="0" applyAlignment="0" applyProtection="0"/>
    <xf numFmtId="0" fontId="24" fillId="7" borderId="175" applyNumberFormat="0" applyAlignment="0" applyProtection="0"/>
    <xf numFmtId="0" fontId="24" fillId="7" borderId="162" applyNumberFormat="0" applyAlignment="0" applyProtection="0"/>
    <xf numFmtId="0" fontId="34" fillId="20" borderId="155" applyNumberFormat="0" applyAlignment="0" applyProtection="0"/>
    <xf numFmtId="0" fontId="24" fillId="7" borderId="169" applyNumberFormat="0" applyAlignment="0" applyProtection="0"/>
    <xf numFmtId="0" fontId="24" fillId="7" borderId="175" applyNumberFormat="0" applyAlignment="0" applyProtection="0"/>
    <xf numFmtId="186" fontId="14" fillId="0" borderId="141" applyFont="0" applyFill="0" applyBorder="0" applyAlignment="0" applyProtection="0"/>
    <xf numFmtId="0" fontId="24" fillId="7" borderId="169" applyNumberFormat="0" applyAlignment="0" applyProtection="0"/>
    <xf numFmtId="0" fontId="24" fillId="7" borderId="162" applyNumberFormat="0" applyAlignment="0" applyProtection="0"/>
    <xf numFmtId="0" fontId="24" fillId="7" borderId="155" applyNumberFormat="0" applyAlignment="0" applyProtection="0"/>
    <xf numFmtId="0" fontId="24" fillId="7" borderId="162" applyNumberFormat="0" applyAlignment="0" applyProtection="0"/>
    <xf numFmtId="0" fontId="24" fillId="7" borderId="162" applyNumberFormat="0" applyAlignment="0" applyProtection="0"/>
    <xf numFmtId="0" fontId="24" fillId="7" borderId="162" applyNumberFormat="0" applyAlignment="0" applyProtection="0"/>
    <xf numFmtId="0" fontId="14" fillId="23" borderId="163" applyFill="0">
      <alignment horizontal="center" vertical="center" wrapText="1"/>
    </xf>
    <xf numFmtId="0" fontId="24" fillId="7" borderId="162" applyNumberFormat="0" applyAlignment="0" applyProtection="0"/>
    <xf numFmtId="0" fontId="28" fillId="26" borderId="177" applyNumberFormat="0" applyAlignment="0" applyProtection="0"/>
    <xf numFmtId="0" fontId="10" fillId="0" borderId="174" applyFont="0" applyFill="0" applyBorder="0" applyAlignment="0" applyProtection="0"/>
    <xf numFmtId="0" fontId="34" fillId="20" borderId="135" applyNumberFormat="0" applyAlignment="0" applyProtection="0"/>
    <xf numFmtId="0" fontId="26" fillId="20" borderId="178" applyNumberFormat="0" applyAlignment="0" applyProtection="0"/>
    <xf numFmtId="0" fontId="34" fillId="20" borderId="148"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35" applyNumberFormat="0" applyAlignment="0" applyProtection="0"/>
    <xf numFmtId="0" fontId="24" fillId="7" borderId="148" applyNumberFormat="0" applyAlignment="0" applyProtection="0"/>
    <xf numFmtId="0" fontId="26" fillId="20" borderId="151" applyNumberFormat="0" applyAlignment="0" applyProtection="0"/>
    <xf numFmtId="0" fontId="26" fillId="20" borderId="138" applyNumberFormat="0" applyAlignment="0" applyProtection="0"/>
    <xf numFmtId="0" fontId="24" fillId="7" borderId="175" applyNumberFormat="0" applyAlignment="0" applyProtection="0"/>
    <xf numFmtId="0" fontId="27" fillId="0" borderId="139" applyNumberFormat="0" applyFill="0" applyAlignment="0" applyProtection="0"/>
    <xf numFmtId="0" fontId="24" fillId="7" borderId="169" applyNumberFormat="0" applyAlignment="0" applyProtection="0"/>
    <xf numFmtId="164" fontId="17" fillId="36" borderId="140">
      <alignment horizontal="center" vertical="center"/>
    </xf>
    <xf numFmtId="0" fontId="24" fillId="7" borderId="148" applyNumberFormat="0" applyAlignment="0" applyProtection="0"/>
    <xf numFmtId="0" fontId="28" fillId="26" borderId="157" applyNumberFormat="0" applyAlignment="0" applyProtection="0"/>
    <xf numFmtId="164" fontId="95" fillId="37" borderId="132">
      <alignment horizontal="right" vertical="center"/>
    </xf>
    <xf numFmtId="164" fontId="17" fillId="36" borderId="167">
      <alignment horizontal="center" vertical="center"/>
    </xf>
    <xf numFmtId="0" fontId="24" fillId="7" borderId="162" applyNumberFormat="0" applyAlignment="0" applyProtection="0"/>
    <xf numFmtId="0" fontId="26" fillId="20" borderId="165" applyNumberFormat="0" applyAlignment="0" applyProtection="0"/>
    <xf numFmtId="0" fontId="26" fillId="20" borderId="151" applyNumberFormat="0" applyAlignment="0" applyProtection="0"/>
    <xf numFmtId="164" fontId="17" fillId="38" borderId="132">
      <alignment horizontal="left" vertical="center"/>
    </xf>
    <xf numFmtId="0" fontId="24" fillId="7" borderId="148" applyNumberFormat="0" applyAlignment="0" applyProtection="0"/>
    <xf numFmtId="0" fontId="24" fillId="7" borderId="175" applyNumberFormat="0" applyAlignment="0" applyProtection="0"/>
    <xf numFmtId="170" fontId="10" fillId="0" borderId="168" applyFont="0" applyFill="0" applyBorder="0" applyAlignment="0" applyProtection="0"/>
    <xf numFmtId="0" fontId="34" fillId="20" borderId="175" applyNumberFormat="0" applyAlignment="0" applyProtection="0"/>
    <xf numFmtId="0" fontId="24" fillId="7" borderId="169" applyNumberFormat="0" applyAlignment="0" applyProtection="0"/>
    <xf numFmtId="0" fontId="24" fillId="7" borderId="175" applyNumberFormat="0" applyAlignment="0" applyProtection="0"/>
    <xf numFmtId="0" fontId="50" fillId="23" borderId="149" applyFill="0">
      <alignment horizontal="center" vertical="center" wrapText="1"/>
    </xf>
    <xf numFmtId="0" fontId="10" fillId="26" borderId="157" applyNumberFormat="0" applyFont="0" applyAlignment="0" applyProtection="0"/>
    <xf numFmtId="0" fontId="24" fillId="7" borderId="175" applyNumberFormat="0" applyAlignment="0" applyProtection="0"/>
    <xf numFmtId="0" fontId="24" fillId="7" borderId="148" applyNumberFormat="0" applyAlignment="0" applyProtection="0"/>
    <xf numFmtId="0" fontId="24" fillId="7" borderId="142" applyNumberFormat="0" applyAlignment="0" applyProtection="0"/>
    <xf numFmtId="0" fontId="26" fillId="20" borderId="145" applyNumberFormat="0" applyAlignment="0" applyProtection="0"/>
    <xf numFmtId="0" fontId="28" fillId="26" borderId="144" applyNumberFormat="0" applyAlignment="0" applyProtection="0"/>
    <xf numFmtId="0" fontId="24" fillId="7" borderId="148" applyNumberFormat="0" applyAlignment="0" applyProtection="0"/>
    <xf numFmtId="0" fontId="28" fillId="26" borderId="144" applyNumberFormat="0" applyAlignment="0" applyProtection="0"/>
    <xf numFmtId="0" fontId="26" fillId="20" borderId="145"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42" applyNumberFormat="0" applyAlignment="0" applyProtection="0"/>
    <xf numFmtId="0" fontId="24" fillId="7" borderId="162" applyNumberFormat="0" applyAlignment="0" applyProtection="0"/>
    <xf numFmtId="0" fontId="24" fillId="7" borderId="148" applyNumberFormat="0" applyAlignment="0" applyProtection="0"/>
    <xf numFmtId="0" fontId="24" fillId="7" borderId="175" applyNumberFormat="0" applyAlignment="0" applyProtection="0"/>
    <xf numFmtId="170" fontId="10" fillId="0" borderId="161" applyFont="0" applyFill="0" applyBorder="0" applyAlignment="0" applyProtection="0"/>
    <xf numFmtId="0" fontId="50" fillId="23" borderId="143" applyFill="0">
      <alignment horizontal="center" vertical="center" wrapText="1"/>
    </xf>
    <xf numFmtId="0" fontId="24" fillId="7" borderId="175" applyNumberFormat="0" applyAlignment="0" applyProtection="0"/>
    <xf numFmtId="0" fontId="24" fillId="7" borderId="162" applyNumberFormat="0" applyAlignment="0" applyProtection="0"/>
    <xf numFmtId="0" fontId="24" fillId="7" borderId="155" applyNumberFormat="0" applyAlignment="0" applyProtection="0"/>
    <xf numFmtId="0" fontId="24" fillId="7" borderId="169" applyNumberFormat="0" applyAlignment="0" applyProtection="0"/>
    <xf numFmtId="0" fontId="24" fillId="7" borderId="155" applyNumberFormat="0" applyAlignment="0" applyProtection="0"/>
    <xf numFmtId="0" fontId="24" fillId="7" borderId="155" applyNumberFormat="0" applyAlignment="0" applyProtection="0"/>
    <xf numFmtId="0" fontId="14" fillId="23" borderId="156" applyFill="0">
      <alignment horizontal="center" vertical="center" wrapText="1"/>
    </xf>
    <xf numFmtId="0" fontId="24" fillId="7" borderId="148" applyNumberFormat="0" applyAlignment="0" applyProtection="0"/>
    <xf numFmtId="0" fontId="27" fillId="0" borderId="159" applyNumberFormat="0" applyFill="0" applyAlignment="0" applyProtection="0"/>
    <xf numFmtId="0" fontId="24" fillId="7" borderId="175" applyNumberFormat="0" applyAlignment="0" applyProtection="0"/>
    <xf numFmtId="0" fontId="24" fillId="7" borderId="169" applyNumberFormat="0" applyAlignment="0" applyProtection="0"/>
    <xf numFmtId="0" fontId="24" fillId="7" borderId="162" applyNumberFormat="0" applyAlignment="0" applyProtection="0"/>
    <xf numFmtId="0" fontId="34" fillId="20" borderId="155" applyNumberFormat="0" applyAlignment="0" applyProtection="0"/>
    <xf numFmtId="0" fontId="34" fillId="20" borderId="142" applyNumberFormat="0" applyAlignment="0" applyProtection="0"/>
    <xf numFmtId="0" fontId="24" fillId="7" borderId="175" applyNumberFormat="0" applyAlignment="0" applyProtection="0"/>
    <xf numFmtId="0" fontId="50" fillId="23" borderId="143" applyFill="0">
      <alignment horizontal="center" vertical="center" wrapText="1"/>
    </xf>
    <xf numFmtId="0" fontId="24" fillId="7" borderId="162" applyNumberFormat="0" applyAlignment="0" applyProtection="0"/>
    <xf numFmtId="0" fontId="24" fillId="7" borderId="142" applyNumberFormat="0" applyAlignment="0" applyProtection="0"/>
    <xf numFmtId="0" fontId="34" fillId="20" borderId="142" applyNumberFormat="0" applyAlignment="0" applyProtection="0"/>
    <xf numFmtId="0" fontId="34" fillId="20" borderId="148" applyNumberFormat="0" applyAlignment="0" applyProtection="0"/>
    <xf numFmtId="0" fontId="24" fillId="7" borderId="155" applyNumberFormat="0" applyAlignment="0" applyProtection="0"/>
    <xf numFmtId="0" fontId="50" fillId="23" borderId="156" applyFill="0">
      <alignment horizontal="center" vertical="center" wrapText="1"/>
    </xf>
    <xf numFmtId="0" fontId="24" fillId="7" borderId="175" applyNumberFormat="0" applyAlignment="0" applyProtection="0"/>
    <xf numFmtId="0" fontId="49" fillId="23" borderId="143" applyFill="0">
      <alignment horizontal="center" vertical="center" wrapText="1"/>
    </xf>
    <xf numFmtId="0" fontId="24" fillId="7" borderId="175" applyNumberFormat="0" applyAlignment="0" applyProtection="0"/>
    <xf numFmtId="0" fontId="24" fillId="7" borderId="142" applyNumberFormat="0" applyAlignment="0" applyProtection="0"/>
    <xf numFmtId="170" fontId="10" fillId="0" borderId="147" applyFont="0" applyFill="0" applyBorder="0" applyAlignment="0" applyProtection="0"/>
    <xf numFmtId="0" fontId="24" fillId="7" borderId="142" applyNumberFormat="0" applyAlignment="0" applyProtection="0"/>
    <xf numFmtId="0" fontId="24" fillId="7" borderId="142" applyNumberFormat="0" applyAlignment="0" applyProtection="0"/>
    <xf numFmtId="0" fontId="27" fillId="0" borderId="166" applyNumberFormat="0" applyFill="0" applyAlignment="0" applyProtection="0"/>
    <xf numFmtId="0" fontId="24" fillId="7" borderId="142" applyNumberFormat="0" applyAlignment="0" applyProtection="0"/>
    <xf numFmtId="164" fontId="17" fillId="36" borderId="153">
      <alignment horizontal="center" vertical="center"/>
    </xf>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55" applyNumberFormat="0" applyAlignment="0" applyProtection="0"/>
    <xf numFmtId="0" fontId="26" fillId="20" borderId="178" applyNumberFormat="0" applyAlignment="0" applyProtection="0"/>
    <xf numFmtId="0" fontId="24" fillId="7" borderId="162" applyNumberFormat="0" applyAlignment="0" applyProtection="0"/>
    <xf numFmtId="0" fontId="24" fillId="7" borderId="142" applyNumberFormat="0" applyAlignment="0" applyProtection="0"/>
    <xf numFmtId="0" fontId="24" fillId="7" borderId="155" applyNumberFormat="0" applyAlignment="0" applyProtection="0"/>
    <xf numFmtId="0" fontId="24" fillId="7" borderId="155" applyNumberFormat="0" applyAlignment="0" applyProtection="0"/>
    <xf numFmtId="0" fontId="24" fillId="7" borderId="142" applyNumberFormat="0" applyAlignment="0" applyProtection="0"/>
    <xf numFmtId="0" fontId="24" fillId="7" borderId="175" applyNumberFormat="0" applyAlignment="0" applyProtection="0"/>
    <xf numFmtId="0" fontId="24" fillId="7" borderId="175" applyNumberFormat="0" applyAlignment="0" applyProtection="0"/>
    <xf numFmtId="170" fontId="10" fillId="0" borderId="154" applyFont="0" applyFill="0" applyBorder="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69" applyNumberFormat="0" applyAlignment="0" applyProtection="0"/>
    <xf numFmtId="0" fontId="24" fillId="7" borderId="142" applyNumberFormat="0" applyAlignment="0" applyProtection="0"/>
    <xf numFmtId="0" fontId="24" fillId="7" borderId="155"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62" applyNumberFormat="0" applyAlignment="0" applyProtection="0"/>
    <xf numFmtId="0" fontId="24" fillId="7" borderId="169" applyNumberFormat="0" applyAlignment="0" applyProtection="0"/>
    <xf numFmtId="0" fontId="24" fillId="7" borderId="162" applyNumberFormat="0" applyAlignment="0" applyProtection="0"/>
    <xf numFmtId="0" fontId="10" fillId="0" borderId="161" applyFont="0" applyFill="0" applyBorder="0" applyAlignment="0" applyProtection="0"/>
    <xf numFmtId="0" fontId="24" fillId="7" borderId="169" applyNumberFormat="0" applyAlignment="0" applyProtection="0"/>
    <xf numFmtId="0" fontId="49" fillId="23" borderId="170" applyFill="0">
      <alignment horizontal="center" vertical="center" wrapText="1"/>
    </xf>
    <xf numFmtId="164" fontId="17" fillId="38" borderId="146">
      <alignment horizontal="left" vertical="center"/>
    </xf>
    <xf numFmtId="0" fontId="24" fillId="7" borderId="162" applyNumberFormat="0" applyAlignment="0" applyProtection="0"/>
    <xf numFmtId="0" fontId="24" fillId="7" borderId="155" applyNumberFormat="0" applyAlignment="0" applyProtection="0"/>
    <xf numFmtId="0" fontId="24" fillId="7" borderId="175" applyNumberFormat="0" applyAlignment="0" applyProtection="0"/>
    <xf numFmtId="0" fontId="34" fillId="20" borderId="155" applyNumberFormat="0" applyAlignment="0" applyProtection="0"/>
    <xf numFmtId="0" fontId="27" fillId="0" borderId="179" applyNumberFormat="0" applyFill="0" applyAlignment="0" applyProtection="0"/>
    <xf numFmtId="0" fontId="24" fillId="7" borderId="169" applyNumberFormat="0" applyAlignment="0" applyProtection="0"/>
    <xf numFmtId="170" fontId="10" fillId="0" borderId="141" applyFont="0" applyFill="0" applyBorder="0" applyAlignment="0" applyProtection="0"/>
    <xf numFmtId="0" fontId="10" fillId="0" borderId="141" applyFont="0" applyFill="0" applyBorder="0" applyAlignment="0" applyProtection="0"/>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0" fontId="28" fillId="26" borderId="177" applyNumberFormat="0" applyAlignment="0" applyProtection="0"/>
    <xf numFmtId="0" fontId="24" fillId="7" borderId="175" applyNumberFormat="0" applyAlignment="0" applyProtection="0"/>
    <xf numFmtId="0" fontId="10" fillId="26" borderId="144" applyNumberFormat="0" applyFont="0" applyAlignment="0" applyProtection="0"/>
    <xf numFmtId="0" fontId="26" fillId="20" borderId="158" applyNumberFormat="0" applyAlignment="0" applyProtection="0"/>
    <xf numFmtId="0" fontId="10" fillId="26" borderId="164" applyNumberFormat="0" applyFont="0" applyAlignment="0" applyProtection="0"/>
    <xf numFmtId="0" fontId="10" fillId="26" borderId="171" applyNumberFormat="0" applyFont="0" applyAlignment="0" applyProtection="0"/>
    <xf numFmtId="0" fontId="24" fillId="7" borderId="155" applyNumberFormat="0" applyAlignment="0" applyProtection="0"/>
    <xf numFmtId="0" fontId="24" fillId="7" borderId="155" applyNumberFormat="0" applyAlignment="0" applyProtection="0"/>
    <xf numFmtId="0" fontId="24" fillId="7" borderId="155" applyNumberFormat="0" applyAlignment="0" applyProtection="0"/>
    <xf numFmtId="0" fontId="24" fillId="7" borderId="175" applyNumberFormat="0" applyAlignment="0" applyProtection="0"/>
    <xf numFmtId="0" fontId="50" fillId="23" borderId="163" applyFill="0">
      <alignment horizontal="center" vertical="center" wrapText="1"/>
    </xf>
    <xf numFmtId="0" fontId="24" fillId="7" borderId="155" applyNumberFormat="0" applyAlignment="0" applyProtection="0"/>
    <xf numFmtId="0" fontId="24" fillId="7" borderId="155" applyNumberFormat="0" applyAlignment="0" applyProtection="0"/>
    <xf numFmtId="0" fontId="24" fillId="7" borderId="175" applyNumberFormat="0" applyAlignment="0" applyProtection="0"/>
    <xf numFmtId="0" fontId="24" fillId="7" borderId="155" applyNumberFormat="0" applyAlignment="0" applyProtection="0"/>
    <xf numFmtId="164" fontId="17" fillId="36" borderId="173">
      <alignment horizontal="center" vertical="center"/>
    </xf>
    <xf numFmtId="0" fontId="24" fillId="7" borderId="155" applyNumberFormat="0" applyAlignment="0" applyProtection="0"/>
    <xf numFmtId="0" fontId="24" fillId="7" borderId="155"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75" applyNumberFormat="0" applyAlignment="0" applyProtection="0"/>
    <xf numFmtId="0" fontId="24" fillId="7" borderId="155" applyNumberFormat="0" applyAlignment="0" applyProtection="0"/>
    <xf numFmtId="0" fontId="26" fillId="20" borderId="165"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69" applyNumberFormat="0" applyAlignment="0" applyProtection="0"/>
    <xf numFmtId="0" fontId="24" fillId="7" borderId="142" applyNumberFormat="0" applyAlignment="0" applyProtection="0"/>
    <xf numFmtId="0" fontId="24" fillId="7" borderId="142" applyNumberFormat="0" applyAlignment="0" applyProtection="0"/>
    <xf numFmtId="0" fontId="24" fillId="7" borderId="175" applyNumberFormat="0" applyAlignment="0" applyProtection="0"/>
    <xf numFmtId="0" fontId="34" fillId="20" borderId="162" applyNumberFormat="0" applyAlignment="0" applyProtection="0"/>
    <xf numFmtId="0" fontId="24" fillId="7" borderId="175" applyNumberFormat="0" applyAlignment="0" applyProtection="0"/>
    <xf numFmtId="0" fontId="24" fillId="7" borderId="175" applyNumberFormat="0" applyAlignment="0" applyProtection="0"/>
    <xf numFmtId="0" fontId="10" fillId="0" borderId="147" applyFont="0" applyFill="0" applyBorder="0" applyAlignment="0" applyProtection="0"/>
    <xf numFmtId="0" fontId="34" fillId="20" borderId="162" applyNumberFormat="0" applyAlignment="0" applyProtection="0"/>
    <xf numFmtId="0" fontId="24" fillId="7" borderId="169" applyNumberFormat="0" applyAlignment="0" applyProtection="0"/>
    <xf numFmtId="0" fontId="24" fillId="7" borderId="162" applyNumberFormat="0" applyAlignment="0" applyProtection="0"/>
    <xf numFmtId="0" fontId="24" fillId="7" borderId="169" applyNumberFormat="0" applyAlignment="0" applyProtection="0"/>
    <xf numFmtId="0" fontId="24" fillId="7" borderId="148" applyNumberFormat="0" applyAlignment="0" applyProtection="0"/>
    <xf numFmtId="0" fontId="24" fillId="7" borderId="162"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48" applyNumberFormat="0" applyAlignment="0" applyProtection="0"/>
    <xf numFmtId="0" fontId="24" fillId="7" borderId="175" applyNumberFormat="0" applyAlignment="0" applyProtection="0"/>
    <xf numFmtId="0" fontId="26" fillId="20" borderId="172" applyNumberFormat="0" applyAlignment="0" applyProtection="0"/>
    <xf numFmtId="186" fontId="14" fillId="0" borderId="147" applyFont="0" applyFill="0" applyBorder="0" applyAlignment="0" applyProtection="0"/>
    <xf numFmtId="164" fontId="95" fillId="37" borderId="167">
      <alignment horizontal="right" vertical="center"/>
    </xf>
    <xf numFmtId="0" fontId="28" fillId="26" borderId="150" applyNumberFormat="0" applyAlignment="0" applyProtection="0"/>
    <xf numFmtId="0" fontId="34" fillId="20" borderId="148" applyNumberFormat="0" applyAlignment="0" applyProtection="0"/>
    <xf numFmtId="164" fontId="17" fillId="36" borderId="180">
      <alignment horizontal="center" vertical="center"/>
    </xf>
    <xf numFmtId="0" fontId="24" fillId="7" borderId="169" applyNumberFormat="0" applyAlignment="0" applyProtection="0"/>
    <xf numFmtId="0" fontId="34" fillId="20" borderId="162" applyNumberFormat="0" applyAlignment="0" applyProtection="0"/>
    <xf numFmtId="0" fontId="24" fillId="7" borderId="155" applyNumberFormat="0" applyAlignment="0" applyProtection="0"/>
    <xf numFmtId="0" fontId="26" fillId="20" borderId="158" applyNumberFormat="0" applyAlignment="0" applyProtection="0"/>
    <xf numFmtId="0" fontId="27" fillId="0" borderId="273" applyNumberFormat="0" applyFill="0" applyAlignment="0" applyProtection="0"/>
    <xf numFmtId="0" fontId="24" fillId="7" borderId="148" applyNumberFormat="0" applyAlignment="0" applyProtection="0"/>
    <xf numFmtId="0" fontId="24" fillId="7" borderId="148" applyNumberFormat="0" applyAlignment="0" applyProtection="0"/>
    <xf numFmtId="186" fontId="14" fillId="0" borderId="154" applyFont="0" applyFill="0" applyBorder="0" applyAlignment="0" applyProtection="0"/>
    <xf numFmtId="0" fontId="24" fillId="7" borderId="148" applyNumberFormat="0" applyAlignment="0" applyProtection="0"/>
    <xf numFmtId="0" fontId="24" fillId="7" borderId="148" applyNumberFormat="0" applyAlignment="0" applyProtection="0"/>
    <xf numFmtId="0" fontId="14" fillId="23" borderId="149" applyFill="0">
      <alignment horizontal="center" vertical="center" wrapText="1"/>
    </xf>
    <xf numFmtId="0" fontId="49" fillId="23" borderId="176" applyFill="0">
      <alignment horizontal="center" vertical="center" wrapText="1"/>
    </xf>
    <xf numFmtId="0" fontId="10" fillId="0" borderId="154" applyFont="0" applyFill="0" applyBorder="0" applyAlignment="0" applyProtection="0"/>
    <xf numFmtId="0" fontId="24" fillId="7" borderId="155" applyNumberFormat="0" applyAlignment="0" applyProtection="0"/>
    <xf numFmtId="0" fontId="24" fillId="7" borderId="155" applyNumberFormat="0" applyAlignment="0" applyProtection="0"/>
    <xf numFmtId="0" fontId="50" fillId="23" borderId="170" applyFill="0">
      <alignment horizontal="center" vertical="center" wrapText="1"/>
    </xf>
    <xf numFmtId="0" fontId="24" fillId="7" borderId="155" applyNumberFormat="0" applyAlignment="0" applyProtection="0"/>
    <xf numFmtId="0" fontId="24" fillId="7" borderId="155" applyNumberFormat="0" applyAlignment="0" applyProtection="0"/>
    <xf numFmtId="0" fontId="24" fillId="7" borderId="169" applyNumberFormat="0" applyAlignment="0" applyProtection="0"/>
    <xf numFmtId="0" fontId="49" fillId="23" borderId="156" applyFill="0">
      <alignment horizontal="center" vertical="center" wrapText="1"/>
    </xf>
    <xf numFmtId="0" fontId="24" fillId="7" borderId="169" applyNumberFormat="0" applyAlignment="0" applyProtection="0"/>
    <xf numFmtId="0" fontId="24" fillId="7" borderId="175" applyNumberFormat="0" applyAlignment="0" applyProtection="0"/>
    <xf numFmtId="0" fontId="50" fillId="23" borderId="156" applyFill="0">
      <alignment horizontal="center" vertical="center" wrapText="1"/>
    </xf>
    <xf numFmtId="0" fontId="10" fillId="26" borderId="177" applyNumberFormat="0" applyFont="0" applyAlignment="0" applyProtection="0"/>
    <xf numFmtId="0" fontId="24" fillId="7" borderId="162" applyNumberFormat="0" applyAlignment="0" applyProtection="0"/>
    <xf numFmtId="0" fontId="24" fillId="7" borderId="169" applyNumberFormat="0" applyAlignment="0" applyProtection="0"/>
    <xf numFmtId="0" fontId="26" fillId="20" borderId="158" applyNumberFormat="0" applyAlignment="0" applyProtection="0"/>
    <xf numFmtId="164" fontId="95" fillId="37" borderId="146">
      <alignment horizontal="right" vertical="center"/>
    </xf>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164" fontId="95" fillId="37" borderId="153">
      <alignment horizontal="right" vertical="center"/>
    </xf>
    <xf numFmtId="0" fontId="24" fillId="7" borderId="162" applyNumberFormat="0" applyAlignment="0" applyProtection="0"/>
    <xf numFmtId="0" fontId="24" fillId="7" borderId="169" applyNumberFormat="0" applyAlignment="0" applyProtection="0"/>
    <xf numFmtId="0" fontId="24" fillId="7" borderId="155" applyNumberFormat="0" applyAlignment="0" applyProtection="0"/>
    <xf numFmtId="0" fontId="24" fillId="7" borderId="155" applyNumberFormat="0" applyAlignment="0" applyProtection="0"/>
    <xf numFmtId="0" fontId="34" fillId="20" borderId="175" applyNumberFormat="0" applyAlignment="0" applyProtection="0"/>
    <xf numFmtId="0" fontId="50" fillId="23" borderId="176" applyFill="0">
      <alignment horizontal="center" vertical="center" wrapText="1"/>
    </xf>
    <xf numFmtId="0" fontId="24" fillId="7" borderId="175" applyNumberFormat="0" applyAlignment="0" applyProtection="0"/>
    <xf numFmtId="0" fontId="24" fillId="7" borderId="175" applyNumberFormat="0" applyAlignment="0" applyProtection="0"/>
    <xf numFmtId="0" fontId="24" fillId="7" borderId="162" applyNumberFormat="0" applyAlignment="0" applyProtection="0"/>
    <xf numFmtId="0" fontId="24" fillId="7" borderId="175" applyNumberFormat="0" applyAlignment="0" applyProtection="0"/>
    <xf numFmtId="0" fontId="24" fillId="7" borderId="162" applyNumberFormat="0" applyAlignment="0" applyProtection="0"/>
    <xf numFmtId="0" fontId="24" fillId="7" borderId="162" applyNumberFormat="0" applyAlignment="0" applyProtection="0"/>
    <xf numFmtId="0" fontId="24" fillId="7" borderId="162" applyNumberFormat="0" applyAlignment="0" applyProtection="0"/>
    <xf numFmtId="0" fontId="28" fillId="26" borderId="211" applyNumberFormat="0" applyAlignment="0" applyProtection="0"/>
    <xf numFmtId="0" fontId="34" fillId="20" borderId="169" applyNumberFormat="0" applyAlignment="0" applyProtection="0"/>
    <xf numFmtId="0" fontId="24" fillId="7" borderId="175" applyNumberFormat="0" applyAlignment="0" applyProtection="0"/>
    <xf numFmtId="0" fontId="24" fillId="7" borderId="175" applyNumberFormat="0" applyAlignment="0" applyProtection="0"/>
    <xf numFmtId="164" fontId="17" fillId="38" borderId="173">
      <alignment horizontal="left" vertical="center"/>
    </xf>
    <xf numFmtId="0" fontId="28" fillId="26" borderId="164" applyNumberFormat="0" applyAlignment="0" applyProtection="0"/>
    <xf numFmtId="0" fontId="24" fillId="7" borderId="169" applyNumberFormat="0" applyAlignment="0" applyProtection="0"/>
    <xf numFmtId="0" fontId="24" fillId="7" borderId="175" applyNumberFormat="0" applyAlignment="0" applyProtection="0"/>
    <xf numFmtId="0" fontId="26" fillId="20" borderId="172" applyNumberFormat="0" applyAlignment="0" applyProtection="0"/>
    <xf numFmtId="0" fontId="24" fillId="7" borderId="169" applyNumberFormat="0" applyAlignment="0" applyProtection="0"/>
    <xf numFmtId="0" fontId="28" fillId="26" borderId="177" applyNumberFormat="0" applyAlignment="0" applyProtection="0"/>
    <xf numFmtId="0" fontId="24" fillId="7" borderId="162" applyNumberFormat="0" applyAlignment="0" applyProtection="0"/>
    <xf numFmtId="0" fontId="24" fillId="7" borderId="162" applyNumberFormat="0" applyAlignment="0" applyProtection="0"/>
    <xf numFmtId="0" fontId="26" fillId="20" borderId="178" applyNumberFormat="0" applyAlignment="0" applyProtection="0"/>
    <xf numFmtId="0" fontId="24" fillId="7" borderId="162" applyNumberFormat="0" applyAlignment="0" applyProtection="0"/>
    <xf numFmtId="0" fontId="24" fillId="7" borderId="162" applyNumberFormat="0" applyAlignment="0" applyProtection="0"/>
    <xf numFmtId="0" fontId="34" fillId="20" borderId="175" applyNumberFormat="0" applyAlignment="0" applyProtection="0"/>
    <xf numFmtId="0" fontId="50" fillId="23" borderId="176" applyFill="0">
      <alignment horizontal="center" vertical="center" wrapText="1"/>
    </xf>
    <xf numFmtId="0" fontId="10" fillId="0" borderId="168" applyFont="0" applyFill="0" applyBorder="0" applyAlignment="0" applyProtection="0"/>
    <xf numFmtId="0" fontId="24" fillId="7" borderId="169" applyNumberFormat="0" applyAlignment="0" applyProtection="0"/>
    <xf numFmtId="0" fontId="24" fillId="7" borderId="169" applyNumberFormat="0" applyAlignment="0" applyProtection="0"/>
    <xf numFmtId="0" fontId="24" fillId="7" borderId="175" applyNumberFormat="0" applyAlignment="0" applyProtection="0"/>
    <xf numFmtId="0" fontId="24" fillId="7" borderId="169" applyNumberFormat="0" applyAlignment="0" applyProtection="0"/>
    <xf numFmtId="0" fontId="24" fillId="7" borderId="169" applyNumberFormat="0" applyAlignment="0" applyProtection="0"/>
    <xf numFmtId="186" fontId="14" fillId="0" borderId="168" applyFont="0" applyFill="0" applyBorder="0" applyAlignment="0" applyProtection="0"/>
    <xf numFmtId="0" fontId="24" fillId="7" borderId="175" applyNumberFormat="0" applyAlignment="0" applyProtection="0"/>
    <xf numFmtId="170" fontId="10" fillId="0" borderId="174" applyFont="0" applyFill="0" applyBorder="0" applyAlignment="0" applyProtection="0"/>
    <xf numFmtId="0" fontId="28" fillId="26" borderId="171"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69" applyNumberFormat="0" applyAlignment="0" applyProtection="0"/>
    <xf numFmtId="0" fontId="24" fillId="7" borderId="169" applyNumberFormat="0" applyAlignment="0" applyProtection="0"/>
    <xf numFmtId="0" fontId="24" fillId="7" borderId="169" applyNumberFormat="0" applyAlignment="0" applyProtection="0"/>
    <xf numFmtId="0" fontId="24" fillId="7" borderId="169" applyNumberFormat="0" applyAlignment="0" applyProtection="0"/>
    <xf numFmtId="0" fontId="14" fillId="23" borderId="170" applyFill="0">
      <alignment horizontal="center" vertical="center" wrapText="1"/>
    </xf>
    <xf numFmtId="0" fontId="24" fillId="7" borderId="175" applyNumberFormat="0" applyAlignment="0" applyProtection="0"/>
    <xf numFmtId="0" fontId="24" fillId="7" borderId="175" applyNumberFormat="0" applyAlignment="0" applyProtection="0"/>
    <xf numFmtId="0" fontId="50" fillId="23" borderId="176" applyFill="0">
      <alignment horizontal="center" vertical="center" wrapText="1"/>
    </xf>
    <xf numFmtId="0" fontId="24" fillId="7" borderId="175" applyNumberFormat="0" applyAlignment="0" applyProtection="0"/>
    <xf numFmtId="0" fontId="24" fillId="7" borderId="175" applyNumberFormat="0" applyAlignment="0" applyProtection="0"/>
    <xf numFmtId="0" fontId="26" fillId="20" borderId="178"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0" fontId="14" fillId="23" borderId="176" applyFill="0">
      <alignment horizontal="center" vertical="center" wrapText="1"/>
    </xf>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0" fontId="24" fillId="7" borderId="175" applyNumberFormat="0" applyAlignment="0" applyProtection="0"/>
    <xf numFmtId="0" fontId="49" fillId="23" borderId="176" applyFill="0">
      <alignment horizontal="center" vertical="center" wrapText="1"/>
    </xf>
    <xf numFmtId="0" fontId="50" fillId="23" borderId="176" applyFill="0">
      <alignment horizontal="center" vertical="center" wrapText="1"/>
    </xf>
    <xf numFmtId="164" fontId="95" fillId="37" borderId="173">
      <alignment horizontal="right" vertical="center"/>
    </xf>
    <xf numFmtId="0" fontId="24" fillId="7" borderId="175" applyNumberFormat="0" applyAlignment="0" applyProtection="0"/>
    <xf numFmtId="0" fontId="24" fillId="7" borderId="175" applyNumberFormat="0" applyAlignment="0" applyProtection="0"/>
    <xf numFmtId="164" fontId="95" fillId="37" borderId="301">
      <alignment horizontal="right" vertical="center"/>
    </xf>
    <xf numFmtId="0" fontId="24" fillId="7" borderId="370" applyNumberFormat="0" applyAlignment="0" applyProtection="0"/>
    <xf numFmtId="0" fontId="49" fillId="23" borderId="277" applyFill="0">
      <alignment horizontal="center" vertical="center" wrapText="1"/>
    </xf>
    <xf numFmtId="164" fontId="95" fillId="37" borderId="375">
      <alignment horizontal="right" vertical="center"/>
    </xf>
    <xf numFmtId="0" fontId="24" fillId="7" borderId="276" applyNumberFormat="0" applyAlignment="0" applyProtection="0"/>
    <xf numFmtId="0" fontId="24" fillId="7" borderId="276"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82" applyNumberFormat="0" applyAlignment="0" applyProtection="0"/>
    <xf numFmtId="0" fontId="24" fillId="7" borderId="276" applyNumberFormat="0" applyAlignment="0" applyProtection="0"/>
    <xf numFmtId="0" fontId="26" fillId="20" borderId="326" applyNumberFormat="0" applyAlignment="0" applyProtection="0"/>
    <xf numFmtId="0" fontId="50" fillId="23" borderId="311" applyFill="0">
      <alignment horizontal="center" vertical="center" wrapText="1"/>
    </xf>
    <xf numFmtId="0" fontId="24" fillId="7" borderId="229" applyNumberFormat="0" applyAlignment="0" applyProtection="0"/>
    <xf numFmtId="0" fontId="24" fillId="7" borderId="229" applyNumberFormat="0" applyAlignment="0" applyProtection="0"/>
    <xf numFmtId="0" fontId="24" fillId="7" borderId="229" applyNumberFormat="0" applyAlignment="0" applyProtection="0"/>
    <xf numFmtId="0" fontId="50" fillId="23" borderId="230" applyFill="0">
      <alignment horizontal="center" vertical="center" wrapText="1"/>
    </xf>
    <xf numFmtId="0" fontId="24" fillId="7" borderId="336" applyNumberFormat="0" applyAlignment="0" applyProtection="0"/>
    <xf numFmtId="0" fontId="50" fillId="23" borderId="277" applyFill="0">
      <alignment horizontal="center" vertical="center" wrapText="1"/>
    </xf>
    <xf numFmtId="0" fontId="28" fillId="26" borderId="372" applyNumberFormat="0" applyAlignment="0" applyProtection="0"/>
    <xf numFmtId="0" fontId="50" fillId="23" borderId="230" applyFill="0">
      <alignment horizontal="center" vertical="center" wrapText="1"/>
    </xf>
    <xf numFmtId="0" fontId="27" fillId="0" borderId="226" applyNumberFormat="0" applyFill="0" applyAlignment="0" applyProtection="0"/>
    <xf numFmtId="0" fontId="24" fillId="7" borderId="323" applyNumberFormat="0" applyAlignment="0" applyProtection="0"/>
    <xf numFmtId="0" fontId="26" fillId="20" borderId="245" applyNumberFormat="0" applyAlignment="0" applyProtection="0"/>
    <xf numFmtId="0" fontId="24" fillId="7" borderId="249" applyNumberFormat="0" applyAlignment="0" applyProtection="0"/>
    <xf numFmtId="0" fontId="24" fillId="7" borderId="370" applyNumberFormat="0" applyAlignment="0" applyProtection="0"/>
    <xf numFmtId="0" fontId="24" fillId="7" borderId="242" applyNumberFormat="0" applyAlignment="0" applyProtection="0"/>
    <xf numFmtId="0" fontId="24" fillId="7" borderId="276" applyNumberFormat="0" applyAlignment="0" applyProtection="0"/>
    <xf numFmtId="0" fontId="14" fillId="23" borderId="270" applyFill="0">
      <alignment horizontal="center" vertical="center" wrapText="1"/>
    </xf>
    <xf numFmtId="0" fontId="44" fillId="0" borderId="0"/>
    <xf numFmtId="0" fontId="24" fillId="7" borderId="370" applyNumberFormat="0" applyAlignment="0" applyProtection="0"/>
    <xf numFmtId="0" fontId="24" fillId="7" borderId="323" applyNumberFormat="0" applyAlignment="0" applyProtection="0"/>
    <xf numFmtId="9" fontId="18" fillId="0" borderId="0" applyFont="0" applyFill="0" applyBorder="0" applyAlignment="0" applyProtection="0"/>
    <xf numFmtId="0" fontId="24" fillId="7" borderId="195" applyNumberFormat="0" applyAlignment="0" applyProtection="0"/>
    <xf numFmtId="0" fontId="24" fillId="7" borderId="195" applyNumberFormat="0" applyAlignment="0" applyProtection="0"/>
    <xf numFmtId="0" fontId="24" fillId="7" borderId="209" applyNumberFormat="0" applyAlignment="0" applyProtection="0"/>
    <xf numFmtId="0" fontId="24" fillId="7" borderId="222" applyNumberFormat="0" applyAlignment="0" applyProtection="0"/>
    <xf numFmtId="0" fontId="24" fillId="7" borderId="195" applyNumberFormat="0" applyAlignment="0" applyProtection="0"/>
    <xf numFmtId="0" fontId="28" fillId="26" borderId="224" applyNumberFormat="0" applyAlignment="0" applyProtection="0"/>
    <xf numFmtId="0" fontId="24" fillId="7" borderId="195" applyNumberFormat="0" applyAlignment="0" applyProtection="0"/>
    <xf numFmtId="0" fontId="24" fillId="7" borderId="202" applyNumberFormat="0" applyAlignment="0" applyProtection="0"/>
    <xf numFmtId="0" fontId="24" fillId="7" borderId="195" applyNumberFormat="0" applyAlignment="0" applyProtection="0"/>
    <xf numFmtId="0" fontId="24" fillId="7" borderId="195" applyNumberFormat="0" applyAlignment="0" applyProtection="0"/>
    <xf numFmtId="0" fontId="24" fillId="7" borderId="216" applyNumberFormat="0" applyAlignment="0" applyProtection="0"/>
    <xf numFmtId="0" fontId="49" fillId="23" borderId="210" applyFill="0">
      <alignment horizontal="center" vertical="center" wrapText="1"/>
    </xf>
    <xf numFmtId="0" fontId="24" fillId="7" borderId="222" applyNumberFormat="0" applyAlignment="0" applyProtection="0"/>
    <xf numFmtId="0" fontId="24" fillId="7" borderId="222" applyNumberFormat="0" applyAlignment="0" applyProtection="0"/>
    <xf numFmtId="0" fontId="24" fillId="7" borderId="195" applyNumberFormat="0" applyAlignment="0" applyProtection="0"/>
    <xf numFmtId="164" fontId="17" fillId="38" borderId="214">
      <alignment horizontal="left" vertical="center"/>
    </xf>
    <xf numFmtId="0" fontId="34" fillId="20" borderId="222" applyNumberFormat="0" applyAlignment="0" applyProtection="0"/>
    <xf numFmtId="0" fontId="28" fillId="26" borderId="197" applyNumberFormat="0" applyAlignment="0" applyProtection="0"/>
    <xf numFmtId="0" fontId="10" fillId="26" borderId="184" applyNumberFormat="0" applyFont="0" applyAlignment="0" applyProtection="0"/>
    <xf numFmtId="0" fontId="24" fillId="7" borderId="216" applyNumberFormat="0" applyAlignment="0" applyProtection="0"/>
    <xf numFmtId="0" fontId="24" fillId="7" borderId="216" applyNumberFormat="0" applyAlignment="0" applyProtection="0"/>
    <xf numFmtId="186" fontId="14" fillId="0" borderId="208" applyFont="0" applyFill="0" applyBorder="0" applyAlignment="0" applyProtection="0"/>
    <xf numFmtId="0" fontId="24" fillId="7" borderId="202" applyNumberFormat="0" applyAlignment="0" applyProtection="0"/>
    <xf numFmtId="0" fontId="24" fillId="7" borderId="202" applyNumberFormat="0" applyAlignment="0" applyProtection="0"/>
    <xf numFmtId="0" fontId="14" fillId="23" borderId="190" applyFill="0">
      <alignment horizontal="center" vertical="center" wrapText="1"/>
    </xf>
    <xf numFmtId="0" fontId="24" fillId="7" borderId="222" applyNumberFormat="0" applyAlignment="0" applyProtection="0"/>
    <xf numFmtId="0" fontId="24" fillId="7" borderId="222" applyNumberFormat="0" applyAlignment="0" applyProtection="0"/>
    <xf numFmtId="0" fontId="10" fillId="0" borderId="181" applyFont="0" applyFill="0" applyBorder="0" applyAlignment="0" applyProtection="0"/>
    <xf numFmtId="170" fontId="10" fillId="0" borderId="181" applyFont="0" applyFill="0" applyBorder="0" applyAlignment="0" applyProtection="0"/>
    <xf numFmtId="164" fontId="17" fillId="36" borderId="207">
      <alignment horizontal="center" vertical="center"/>
    </xf>
    <xf numFmtId="0" fontId="24" fillId="7" borderId="216" applyNumberFormat="0" applyAlignment="0" applyProtection="0"/>
    <xf numFmtId="164" fontId="17" fillId="38" borderId="187">
      <alignment horizontal="left" vertical="center"/>
    </xf>
    <xf numFmtId="0" fontId="24" fillId="7" borderId="195" applyNumberFormat="0" applyAlignment="0" applyProtection="0"/>
    <xf numFmtId="0" fontId="24" fillId="7" borderId="202" applyNumberFormat="0" applyAlignment="0" applyProtection="0"/>
    <xf numFmtId="0" fontId="24" fillId="7" borderId="202" applyNumberFormat="0" applyAlignment="0" applyProtection="0"/>
    <xf numFmtId="0" fontId="24" fillId="7" borderId="195" applyNumberFormat="0" applyAlignment="0" applyProtection="0"/>
    <xf numFmtId="0" fontId="24" fillId="7" borderId="209" applyNumberFormat="0" applyAlignment="0" applyProtection="0"/>
    <xf numFmtId="0" fontId="24" fillId="7" borderId="209" applyNumberFormat="0" applyAlignment="0" applyProtection="0"/>
    <xf numFmtId="0" fontId="49" fillId="23" borderId="196" applyFill="0">
      <alignment horizontal="center" vertical="center" wrapText="1"/>
    </xf>
    <xf numFmtId="0" fontId="24" fillId="7" borderId="209" applyNumberFormat="0" applyAlignment="0" applyProtection="0"/>
    <xf numFmtId="0" fontId="24" fillId="7" borderId="209" applyNumberFormat="0" applyAlignment="0" applyProtection="0"/>
    <xf numFmtId="164" fontId="17" fillId="36" borderId="193">
      <alignment horizontal="center" vertical="center"/>
    </xf>
    <xf numFmtId="0" fontId="28" fillId="26" borderId="218" applyNumberFormat="0" applyAlignment="0" applyProtection="0"/>
    <xf numFmtId="0" fontId="10" fillId="26" borderId="197" applyNumberFormat="0" applyFont="0" applyAlignment="0" applyProtection="0"/>
    <xf numFmtId="0" fontId="24" fillId="7" borderId="222" applyNumberFormat="0" applyAlignment="0" applyProtection="0"/>
    <xf numFmtId="186" fontId="14" fillId="0" borderId="221" applyFont="0" applyFill="0" applyBorder="0" applyAlignment="0" applyProtection="0"/>
    <xf numFmtId="164" fontId="17" fillId="38" borderId="200">
      <alignment horizontal="left" vertical="center"/>
    </xf>
    <xf numFmtId="0" fontId="50" fillId="23" borderId="210" applyFill="0">
      <alignment horizontal="center" vertical="center" wrapText="1"/>
    </xf>
    <xf numFmtId="0" fontId="26" fillId="20" borderId="225" applyNumberFormat="0" applyAlignment="0" applyProtection="0"/>
    <xf numFmtId="0" fontId="24" fillId="7" borderId="195" applyNumberFormat="0" applyAlignment="0" applyProtection="0"/>
    <xf numFmtId="0" fontId="24" fillId="7" borderId="195" applyNumberFormat="0" applyAlignment="0" applyProtection="0"/>
    <xf numFmtId="0" fontId="24" fillId="7" borderId="209" applyNumberFormat="0" applyAlignment="0" applyProtection="0"/>
    <xf numFmtId="0" fontId="24" fillId="7" borderId="222" applyNumberFormat="0" applyAlignment="0" applyProtection="0"/>
    <xf numFmtId="0" fontId="14" fillId="23" borderId="183" applyFill="0">
      <alignment horizontal="center" vertical="center" wrapText="1"/>
    </xf>
    <xf numFmtId="0" fontId="34" fillId="20" borderId="222" applyNumberFormat="0" applyAlignment="0" applyProtection="0"/>
    <xf numFmtId="0" fontId="26" fillId="20" borderId="212" applyNumberFormat="0" applyAlignment="0" applyProtection="0"/>
    <xf numFmtId="0" fontId="24" fillId="7" borderId="222" applyNumberFormat="0" applyAlignment="0" applyProtection="0"/>
    <xf numFmtId="0" fontId="50" fillId="23" borderId="196" applyFill="0">
      <alignment horizontal="center" vertical="center" wrapText="1"/>
    </xf>
    <xf numFmtId="0" fontId="24" fillId="7" borderId="202" applyNumberFormat="0" applyAlignment="0" applyProtection="0"/>
    <xf numFmtId="0" fontId="24" fillId="7" borderId="222" applyNumberFormat="0" applyAlignment="0" applyProtection="0"/>
    <xf numFmtId="0" fontId="24" fillId="7" borderId="209" applyNumberFormat="0" applyAlignment="0" applyProtection="0"/>
    <xf numFmtId="0" fontId="34" fillId="20" borderId="202" applyNumberFormat="0" applyAlignment="0" applyProtection="0"/>
    <xf numFmtId="0" fontId="24" fillId="7" borderId="216" applyNumberFormat="0" applyAlignment="0" applyProtection="0"/>
    <xf numFmtId="0" fontId="24" fillId="7" borderId="222" applyNumberFormat="0" applyAlignment="0" applyProtection="0"/>
    <xf numFmtId="186" fontId="14" fillId="0" borderId="188" applyFont="0" applyFill="0" applyBorder="0" applyAlignment="0" applyProtection="0"/>
    <xf numFmtId="0" fontId="24" fillId="7" borderId="216" applyNumberFormat="0" applyAlignment="0" applyProtection="0"/>
    <xf numFmtId="0" fontId="24" fillId="7" borderId="209" applyNumberFormat="0" applyAlignment="0" applyProtection="0"/>
    <xf numFmtId="0" fontId="24" fillId="7" borderId="202" applyNumberFormat="0" applyAlignment="0" applyProtection="0"/>
    <xf numFmtId="0" fontId="24" fillId="7" borderId="209" applyNumberFormat="0" applyAlignment="0" applyProtection="0"/>
    <xf numFmtId="0" fontId="24" fillId="7" borderId="209" applyNumberFormat="0" applyAlignment="0" applyProtection="0"/>
    <xf numFmtId="0" fontId="24" fillId="7" borderId="209" applyNumberFormat="0" applyAlignment="0" applyProtection="0"/>
    <xf numFmtId="0" fontId="14" fillId="23" borderId="210" applyFill="0">
      <alignment horizontal="center" vertical="center" wrapText="1"/>
    </xf>
    <xf numFmtId="0" fontId="24" fillId="7" borderId="209" applyNumberFormat="0" applyAlignment="0" applyProtection="0"/>
    <xf numFmtId="0" fontId="28" fillId="26" borderId="224" applyNumberFormat="0" applyAlignment="0" applyProtection="0"/>
    <xf numFmtId="0" fontId="10" fillId="0" borderId="221" applyFont="0" applyFill="0" applyBorder="0" applyAlignment="0" applyProtection="0"/>
    <xf numFmtId="0" fontId="34" fillId="20" borderId="182" applyNumberFormat="0" applyAlignment="0" applyProtection="0"/>
    <xf numFmtId="0" fontId="26" fillId="20" borderId="225" applyNumberFormat="0" applyAlignment="0" applyProtection="0"/>
    <xf numFmtId="0" fontId="34" fillId="20" borderId="195" applyNumberFormat="0" applyAlignment="0" applyProtection="0"/>
    <xf numFmtId="0" fontId="24" fillId="7" borderId="222" applyNumberFormat="0" applyAlignment="0" applyProtection="0"/>
    <xf numFmtId="0" fontId="24" fillId="7" borderId="222"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82" applyNumberFormat="0" applyAlignment="0" applyProtection="0"/>
    <xf numFmtId="0" fontId="24" fillId="7" borderId="195" applyNumberFormat="0" applyAlignment="0" applyProtection="0"/>
    <xf numFmtId="0" fontId="26" fillId="20" borderId="198" applyNumberFormat="0" applyAlignment="0" applyProtection="0"/>
    <xf numFmtId="0" fontId="26" fillId="20" borderId="185" applyNumberFormat="0" applyAlignment="0" applyProtection="0"/>
    <xf numFmtId="0" fontId="24" fillId="7" borderId="222" applyNumberFormat="0" applyAlignment="0" applyProtection="0"/>
    <xf numFmtId="0" fontId="27" fillId="0" borderId="186" applyNumberFormat="0" applyFill="0" applyAlignment="0" applyProtection="0"/>
    <xf numFmtId="0" fontId="24" fillId="7" borderId="216" applyNumberFormat="0" applyAlignment="0" applyProtection="0"/>
    <xf numFmtId="164" fontId="17" fillId="36" borderId="187">
      <alignment horizontal="center" vertical="center"/>
    </xf>
    <xf numFmtId="0" fontId="24" fillId="7" borderId="195" applyNumberFormat="0" applyAlignment="0" applyProtection="0"/>
    <xf numFmtId="0" fontId="28" fillId="26" borderId="204" applyNumberFormat="0" applyAlignment="0" applyProtection="0"/>
    <xf numFmtId="164" fontId="95" fillId="37" borderId="180">
      <alignment horizontal="right" vertical="center"/>
    </xf>
    <xf numFmtId="164" fontId="17" fillId="36" borderId="214">
      <alignment horizontal="center" vertical="center"/>
    </xf>
    <xf numFmtId="0" fontId="24" fillId="7" borderId="209" applyNumberFormat="0" applyAlignment="0" applyProtection="0"/>
    <xf numFmtId="0" fontId="26" fillId="20" borderId="212" applyNumberFormat="0" applyAlignment="0" applyProtection="0"/>
    <xf numFmtId="0" fontId="26" fillId="20" borderId="198" applyNumberFormat="0" applyAlignment="0" applyProtection="0"/>
    <xf numFmtId="164" fontId="17" fillId="38" borderId="180">
      <alignment horizontal="left" vertical="center"/>
    </xf>
    <xf numFmtId="0" fontId="24" fillId="7" borderId="195" applyNumberFormat="0" applyAlignment="0" applyProtection="0"/>
    <xf numFmtId="0" fontId="24" fillId="7" borderId="222" applyNumberFormat="0" applyAlignment="0" applyProtection="0"/>
    <xf numFmtId="170" fontId="10" fillId="0" borderId="215" applyFont="0" applyFill="0" applyBorder="0" applyAlignment="0" applyProtection="0"/>
    <xf numFmtId="0" fontId="34" fillId="20" borderId="222" applyNumberFormat="0" applyAlignment="0" applyProtection="0"/>
    <xf numFmtId="0" fontId="24" fillId="7" borderId="216" applyNumberFormat="0" applyAlignment="0" applyProtection="0"/>
    <xf numFmtId="0" fontId="24" fillId="7" borderId="222" applyNumberFormat="0" applyAlignment="0" applyProtection="0"/>
    <xf numFmtId="0" fontId="50" fillId="23" borderId="196" applyFill="0">
      <alignment horizontal="center" vertical="center" wrapText="1"/>
    </xf>
    <xf numFmtId="0" fontId="24" fillId="7" borderId="323" applyNumberFormat="0" applyAlignment="0" applyProtection="0"/>
    <xf numFmtId="0" fontId="10" fillId="26" borderId="204" applyNumberFormat="0" applyFont="0" applyAlignment="0" applyProtection="0"/>
    <xf numFmtId="0" fontId="24" fillId="7" borderId="222" applyNumberFormat="0" applyAlignment="0" applyProtection="0"/>
    <xf numFmtId="0" fontId="24" fillId="7" borderId="195" applyNumberFormat="0" applyAlignment="0" applyProtection="0"/>
    <xf numFmtId="0" fontId="24" fillId="7" borderId="189" applyNumberFormat="0" applyAlignment="0" applyProtection="0"/>
    <xf numFmtId="0" fontId="26" fillId="20" borderId="192" applyNumberFormat="0" applyAlignment="0" applyProtection="0"/>
    <xf numFmtId="0" fontId="28" fillId="26" borderId="191" applyNumberFormat="0" applyAlignment="0" applyProtection="0"/>
    <xf numFmtId="0" fontId="24" fillId="7" borderId="195" applyNumberFormat="0" applyAlignment="0" applyProtection="0"/>
    <xf numFmtId="0" fontId="28" fillId="26" borderId="191" applyNumberFormat="0" applyAlignment="0" applyProtection="0"/>
    <xf numFmtId="0" fontId="26" fillId="20" borderId="192" applyNumberFormat="0" applyAlignment="0" applyProtection="0"/>
    <xf numFmtId="0" fontId="24" fillId="7" borderId="222" applyNumberFormat="0" applyAlignment="0" applyProtection="0"/>
    <xf numFmtId="0" fontId="24" fillId="7" borderId="222" applyNumberFormat="0" applyAlignment="0" applyProtection="0"/>
    <xf numFmtId="0" fontId="24" fillId="7" borderId="189" applyNumberFormat="0" applyAlignment="0" applyProtection="0"/>
    <xf numFmtId="0" fontId="24" fillId="7" borderId="209" applyNumberFormat="0" applyAlignment="0" applyProtection="0"/>
    <xf numFmtId="0" fontId="24" fillId="7" borderId="195" applyNumberFormat="0" applyAlignment="0" applyProtection="0"/>
    <xf numFmtId="0" fontId="24" fillId="7" borderId="222" applyNumberFormat="0" applyAlignment="0" applyProtection="0"/>
    <xf numFmtId="170" fontId="10" fillId="0" borderId="208" applyFont="0" applyFill="0" applyBorder="0" applyAlignment="0" applyProtection="0"/>
    <xf numFmtId="0" fontId="50" fillId="23" borderId="190" applyFill="0">
      <alignment horizontal="center" vertical="center" wrapText="1"/>
    </xf>
    <xf numFmtId="0" fontId="24" fillId="7" borderId="222" applyNumberFormat="0" applyAlignment="0" applyProtection="0"/>
    <xf numFmtId="0" fontId="24" fillId="7" borderId="209" applyNumberFormat="0" applyAlignment="0" applyProtection="0"/>
    <xf numFmtId="0" fontId="24" fillId="7" borderId="202" applyNumberFormat="0" applyAlignment="0" applyProtection="0"/>
    <xf numFmtId="0" fontId="24" fillId="7" borderId="216" applyNumberFormat="0" applyAlignment="0" applyProtection="0"/>
    <xf numFmtId="0" fontId="24" fillId="7" borderId="202" applyNumberFormat="0" applyAlignment="0" applyProtection="0"/>
    <xf numFmtId="0" fontId="24" fillId="7" borderId="202" applyNumberFormat="0" applyAlignment="0" applyProtection="0"/>
    <xf numFmtId="0" fontId="14" fillId="23" borderId="203" applyFill="0">
      <alignment horizontal="center" vertical="center" wrapText="1"/>
    </xf>
    <xf numFmtId="0" fontId="24" fillId="7" borderId="195" applyNumberFormat="0" applyAlignment="0" applyProtection="0"/>
    <xf numFmtId="0" fontId="27" fillId="0" borderId="206" applyNumberFormat="0" applyFill="0" applyAlignment="0" applyProtection="0"/>
    <xf numFmtId="0" fontId="24" fillId="7" borderId="222" applyNumberFormat="0" applyAlignment="0" applyProtection="0"/>
    <xf numFmtId="0" fontId="24" fillId="7" borderId="216" applyNumberFormat="0" applyAlignment="0" applyProtection="0"/>
    <xf numFmtId="0" fontId="24" fillId="7" borderId="209" applyNumberFormat="0" applyAlignment="0" applyProtection="0"/>
    <xf numFmtId="0" fontId="34" fillId="20" borderId="202" applyNumberFormat="0" applyAlignment="0" applyProtection="0"/>
    <xf numFmtId="0" fontId="34" fillId="20" borderId="189" applyNumberFormat="0" applyAlignment="0" applyProtection="0"/>
    <xf numFmtId="0" fontId="24" fillId="7" borderId="222" applyNumberFormat="0" applyAlignment="0" applyProtection="0"/>
    <xf numFmtId="0" fontId="50" fillId="23" borderId="190" applyFill="0">
      <alignment horizontal="center" vertical="center" wrapText="1"/>
    </xf>
    <xf numFmtId="0" fontId="24" fillId="7" borderId="209" applyNumberFormat="0" applyAlignment="0" applyProtection="0"/>
    <xf numFmtId="0" fontId="24" fillId="7" borderId="189" applyNumberFormat="0" applyAlignment="0" applyProtection="0"/>
    <xf numFmtId="0" fontId="34" fillId="20" borderId="189" applyNumberFormat="0" applyAlignment="0" applyProtection="0"/>
    <xf numFmtId="0" fontId="34" fillId="20" borderId="195" applyNumberFormat="0" applyAlignment="0" applyProtection="0"/>
    <xf numFmtId="0" fontId="24" fillId="7" borderId="202" applyNumberFormat="0" applyAlignment="0" applyProtection="0"/>
    <xf numFmtId="0" fontId="50" fillId="23" borderId="203" applyFill="0">
      <alignment horizontal="center" vertical="center" wrapText="1"/>
    </xf>
    <xf numFmtId="0" fontId="24" fillId="7" borderId="222" applyNumberFormat="0" applyAlignment="0" applyProtection="0"/>
    <xf numFmtId="0" fontId="49" fillId="23" borderId="190" applyFill="0">
      <alignment horizontal="center" vertical="center" wrapText="1"/>
    </xf>
    <xf numFmtId="0" fontId="24" fillId="7" borderId="222" applyNumberFormat="0" applyAlignment="0" applyProtection="0"/>
    <xf numFmtId="0" fontId="24" fillId="7" borderId="189" applyNumberFormat="0" applyAlignment="0" applyProtection="0"/>
    <xf numFmtId="170" fontId="10" fillId="0" borderId="194" applyFont="0" applyFill="0" applyBorder="0" applyAlignment="0" applyProtection="0"/>
    <xf numFmtId="0" fontId="24" fillId="7" borderId="189" applyNumberFormat="0" applyAlignment="0" applyProtection="0"/>
    <xf numFmtId="0" fontId="24" fillId="7" borderId="189" applyNumberFormat="0" applyAlignment="0" applyProtection="0"/>
    <xf numFmtId="0" fontId="27" fillId="0" borderId="213" applyNumberFormat="0" applyFill="0" applyAlignment="0" applyProtection="0"/>
    <xf numFmtId="0" fontId="24" fillId="7" borderId="189" applyNumberFormat="0" applyAlignment="0" applyProtection="0"/>
    <xf numFmtId="164" fontId="17" fillId="36" borderId="200">
      <alignment horizontal="center" vertical="center"/>
    </xf>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202" applyNumberFormat="0" applyAlignment="0" applyProtection="0"/>
    <xf numFmtId="0" fontId="26" fillId="20" borderId="225" applyNumberFormat="0" applyAlignment="0" applyProtection="0"/>
    <xf numFmtId="0" fontId="24" fillId="7" borderId="209" applyNumberFormat="0" applyAlignment="0" applyProtection="0"/>
    <xf numFmtId="0" fontId="24" fillId="7" borderId="189" applyNumberFormat="0" applyAlignment="0" applyProtection="0"/>
    <xf numFmtId="0" fontId="24" fillId="7" borderId="202" applyNumberFormat="0" applyAlignment="0" applyProtection="0"/>
    <xf numFmtId="0" fontId="24" fillId="7" borderId="202" applyNumberFormat="0" applyAlignment="0" applyProtection="0"/>
    <xf numFmtId="0" fontId="24" fillId="7" borderId="189" applyNumberFormat="0" applyAlignment="0" applyProtection="0"/>
    <xf numFmtId="0" fontId="24" fillId="7" borderId="222" applyNumberFormat="0" applyAlignment="0" applyProtection="0"/>
    <xf numFmtId="0" fontId="24" fillId="7" borderId="222" applyNumberFormat="0" applyAlignment="0" applyProtection="0"/>
    <xf numFmtId="170" fontId="10" fillId="0" borderId="201" applyFont="0" applyFill="0" applyBorder="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216" applyNumberFormat="0" applyAlignment="0" applyProtection="0"/>
    <xf numFmtId="0" fontId="24" fillId="7" borderId="189" applyNumberFormat="0" applyAlignment="0" applyProtection="0"/>
    <xf numFmtId="0" fontId="24" fillId="7" borderId="202"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189" applyNumberFormat="0" applyAlignment="0" applyProtection="0"/>
    <xf numFmtId="0" fontId="24" fillId="7" borderId="209" applyNumberFormat="0" applyAlignment="0" applyProtection="0"/>
    <xf numFmtId="0" fontId="24" fillId="7" borderId="216" applyNumberFormat="0" applyAlignment="0" applyProtection="0"/>
    <xf numFmtId="0" fontId="24" fillId="7" borderId="209" applyNumberFormat="0" applyAlignment="0" applyProtection="0"/>
    <xf numFmtId="0" fontId="10" fillId="0" borderId="208" applyFont="0" applyFill="0" applyBorder="0" applyAlignment="0" applyProtection="0"/>
    <xf numFmtId="0" fontId="24" fillId="7" borderId="216" applyNumberFormat="0" applyAlignment="0" applyProtection="0"/>
    <xf numFmtId="0" fontId="49" fillId="23" borderId="217" applyFill="0">
      <alignment horizontal="center" vertical="center" wrapText="1"/>
    </xf>
    <xf numFmtId="164" fontId="17" fillId="38" borderId="193">
      <alignment horizontal="left" vertical="center"/>
    </xf>
    <xf numFmtId="0" fontId="24" fillId="7" borderId="209" applyNumberFormat="0" applyAlignment="0" applyProtection="0"/>
    <xf numFmtId="0" fontId="24" fillId="7" borderId="202" applyNumberFormat="0" applyAlignment="0" applyProtection="0"/>
    <xf numFmtId="0" fontId="24" fillId="7" borderId="222" applyNumberFormat="0" applyAlignment="0" applyProtection="0"/>
    <xf numFmtId="0" fontId="34" fillId="20" borderId="202" applyNumberFormat="0" applyAlignment="0" applyProtection="0"/>
    <xf numFmtId="0" fontId="27" fillId="0" borderId="226" applyNumberFormat="0" applyFill="0" applyAlignment="0" applyProtection="0"/>
    <xf numFmtId="0" fontId="24" fillId="7" borderId="216" applyNumberFormat="0" applyAlignment="0" applyProtection="0"/>
    <xf numFmtId="170" fontId="10" fillId="0" borderId="188" applyFont="0" applyFill="0" applyBorder="0" applyAlignment="0" applyProtection="0"/>
    <xf numFmtId="0" fontId="10" fillId="0" borderId="188" applyFont="0" applyFill="0" applyBorder="0" applyAlignment="0" applyProtection="0"/>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0" fontId="28" fillId="26" borderId="224" applyNumberFormat="0" applyAlignment="0" applyProtection="0"/>
    <xf numFmtId="0" fontId="24" fillId="7" borderId="222" applyNumberFormat="0" applyAlignment="0" applyProtection="0"/>
    <xf numFmtId="0" fontId="10" fillId="26" borderId="191" applyNumberFormat="0" applyFont="0" applyAlignment="0" applyProtection="0"/>
    <xf numFmtId="0" fontId="26" fillId="20" borderId="205" applyNumberFormat="0" applyAlignment="0" applyProtection="0"/>
    <xf numFmtId="0" fontId="10" fillId="26" borderId="211" applyNumberFormat="0" applyFont="0" applyAlignment="0" applyProtection="0"/>
    <xf numFmtId="0" fontId="10" fillId="26" borderId="218" applyNumberFormat="0" applyFont="0" applyAlignment="0" applyProtection="0"/>
    <xf numFmtId="0" fontId="24" fillId="7" borderId="202" applyNumberFormat="0" applyAlignment="0" applyProtection="0"/>
    <xf numFmtId="0" fontId="24" fillId="7" borderId="202" applyNumberFormat="0" applyAlignment="0" applyProtection="0"/>
    <xf numFmtId="0" fontId="24" fillId="7" borderId="202" applyNumberFormat="0" applyAlignment="0" applyProtection="0"/>
    <xf numFmtId="0" fontId="24" fillId="7" borderId="222" applyNumberFormat="0" applyAlignment="0" applyProtection="0"/>
    <xf numFmtId="0" fontId="50" fillId="23" borderId="210" applyFill="0">
      <alignment horizontal="center" vertical="center" wrapText="1"/>
    </xf>
    <xf numFmtId="0" fontId="24" fillId="7" borderId="202" applyNumberFormat="0" applyAlignment="0" applyProtection="0"/>
    <xf numFmtId="0" fontId="24" fillId="7" borderId="202" applyNumberFormat="0" applyAlignment="0" applyProtection="0"/>
    <xf numFmtId="0" fontId="24" fillId="7" borderId="222" applyNumberFormat="0" applyAlignment="0" applyProtection="0"/>
    <xf numFmtId="0" fontId="24" fillId="7" borderId="202" applyNumberFormat="0" applyAlignment="0" applyProtection="0"/>
    <xf numFmtId="164" fontId="17" fillId="36" borderId="220">
      <alignment horizontal="center" vertical="center"/>
    </xf>
    <xf numFmtId="0" fontId="24" fillId="7" borderId="202" applyNumberFormat="0" applyAlignment="0" applyProtection="0"/>
    <xf numFmtId="0" fontId="24" fillId="7" borderId="202" applyNumberFormat="0" applyAlignment="0" applyProtection="0"/>
    <xf numFmtId="0" fontId="24" fillId="7" borderId="195" applyNumberFormat="0" applyAlignment="0" applyProtection="0"/>
    <xf numFmtId="0" fontId="24" fillId="7" borderId="195" applyNumberFormat="0" applyAlignment="0" applyProtection="0"/>
    <xf numFmtId="0" fontId="24" fillId="7" borderId="222" applyNumberFormat="0" applyAlignment="0" applyProtection="0"/>
    <xf numFmtId="0" fontId="24" fillId="7" borderId="202" applyNumberFormat="0" applyAlignment="0" applyProtection="0"/>
    <xf numFmtId="0" fontId="26" fillId="20" borderId="212" applyNumberFormat="0" applyAlignment="0" applyProtection="0"/>
    <xf numFmtId="0" fontId="24" fillId="7" borderId="189" applyNumberFormat="0" applyAlignment="0" applyProtection="0"/>
    <xf numFmtId="0" fontId="24" fillId="7" borderId="189" applyNumberFormat="0" applyAlignment="0" applyProtection="0"/>
    <xf numFmtId="0" fontId="24" fillId="7" borderId="216" applyNumberFormat="0" applyAlignment="0" applyProtection="0"/>
    <xf numFmtId="0" fontId="24" fillId="7" borderId="189" applyNumberFormat="0" applyAlignment="0" applyProtection="0"/>
    <xf numFmtId="0" fontId="24" fillId="7" borderId="189" applyNumberFormat="0" applyAlignment="0" applyProtection="0"/>
    <xf numFmtId="0" fontId="24" fillId="7" borderId="222" applyNumberFormat="0" applyAlignment="0" applyProtection="0"/>
    <xf numFmtId="0" fontId="34" fillId="20" borderId="209" applyNumberFormat="0" applyAlignment="0" applyProtection="0"/>
    <xf numFmtId="0" fontId="24" fillId="7" borderId="222" applyNumberFormat="0" applyAlignment="0" applyProtection="0"/>
    <xf numFmtId="0" fontId="24" fillId="7" borderId="222" applyNumberFormat="0" applyAlignment="0" applyProtection="0"/>
    <xf numFmtId="0" fontId="10" fillId="0" borderId="194" applyFont="0" applyFill="0" applyBorder="0" applyAlignment="0" applyProtection="0"/>
    <xf numFmtId="0" fontId="34" fillId="20" borderId="209" applyNumberFormat="0" applyAlignment="0" applyProtection="0"/>
    <xf numFmtId="0" fontId="24" fillId="7" borderId="216" applyNumberFormat="0" applyAlignment="0" applyProtection="0"/>
    <xf numFmtId="0" fontId="24" fillId="7" borderId="209" applyNumberFormat="0" applyAlignment="0" applyProtection="0"/>
    <xf numFmtId="0" fontId="24" fillId="7" borderId="216" applyNumberFormat="0" applyAlignment="0" applyProtection="0"/>
    <xf numFmtId="0" fontId="24" fillId="7" borderId="195" applyNumberFormat="0" applyAlignment="0" applyProtection="0"/>
    <xf numFmtId="0" fontId="24" fillId="7" borderId="209" applyNumberFormat="0" applyAlignment="0" applyProtection="0"/>
    <xf numFmtId="0" fontId="24" fillId="7" borderId="195" applyNumberFormat="0" applyAlignment="0" applyProtection="0"/>
    <xf numFmtId="0" fontId="24" fillId="7" borderId="195" applyNumberFormat="0" applyAlignment="0" applyProtection="0"/>
    <xf numFmtId="0" fontId="24" fillId="7" borderId="195" applyNumberFormat="0" applyAlignment="0" applyProtection="0"/>
    <xf numFmtId="0" fontId="24" fillId="7" borderId="195" applyNumberFormat="0" applyAlignment="0" applyProtection="0"/>
    <xf numFmtId="0" fontId="24" fillId="7" borderId="222" applyNumberFormat="0" applyAlignment="0" applyProtection="0"/>
    <xf numFmtId="0" fontId="26" fillId="20" borderId="219" applyNumberFormat="0" applyAlignment="0" applyProtection="0"/>
    <xf numFmtId="186" fontId="14" fillId="0" borderId="194" applyFont="0" applyFill="0" applyBorder="0" applyAlignment="0" applyProtection="0"/>
    <xf numFmtId="164" fontId="95" fillId="37" borderId="214">
      <alignment horizontal="right" vertical="center"/>
    </xf>
    <xf numFmtId="0" fontId="28" fillId="26" borderId="197" applyNumberFormat="0" applyAlignment="0" applyProtection="0"/>
    <xf numFmtId="0" fontId="34" fillId="20" borderId="195" applyNumberFormat="0" applyAlignment="0" applyProtection="0"/>
    <xf numFmtId="164" fontId="17" fillId="36" borderId="227">
      <alignment horizontal="center" vertical="center"/>
    </xf>
    <xf numFmtId="0" fontId="24" fillId="7" borderId="216" applyNumberFormat="0" applyAlignment="0" applyProtection="0"/>
    <xf numFmtId="0" fontId="34" fillId="20" borderId="209" applyNumberFormat="0" applyAlignment="0" applyProtection="0"/>
    <xf numFmtId="0" fontId="24" fillId="7" borderId="202" applyNumberFormat="0" applyAlignment="0" applyProtection="0"/>
    <xf numFmtId="0" fontId="26" fillId="20" borderId="205" applyNumberFormat="0" applyAlignment="0" applyProtection="0"/>
    <xf numFmtId="0" fontId="24" fillId="7" borderId="195" applyNumberFormat="0" applyAlignment="0" applyProtection="0"/>
    <xf numFmtId="0" fontId="24" fillId="7" borderId="195" applyNumberFormat="0" applyAlignment="0" applyProtection="0"/>
    <xf numFmtId="186" fontId="14" fillId="0" borderId="201" applyFont="0" applyFill="0" applyBorder="0" applyAlignment="0" applyProtection="0"/>
    <xf numFmtId="0" fontId="24" fillId="7" borderId="195" applyNumberFormat="0" applyAlignment="0" applyProtection="0"/>
    <xf numFmtId="0" fontId="24" fillId="7" borderId="195" applyNumberFormat="0" applyAlignment="0" applyProtection="0"/>
    <xf numFmtId="0" fontId="14" fillId="23" borderId="196" applyFill="0">
      <alignment horizontal="center" vertical="center" wrapText="1"/>
    </xf>
    <xf numFmtId="0" fontId="49" fillId="23" borderId="223" applyFill="0">
      <alignment horizontal="center" vertical="center" wrapText="1"/>
    </xf>
    <xf numFmtId="0" fontId="10" fillId="0" borderId="201" applyFont="0" applyFill="0" applyBorder="0" applyAlignment="0" applyProtection="0"/>
    <xf numFmtId="0" fontId="24" fillId="7" borderId="202" applyNumberFormat="0" applyAlignment="0" applyProtection="0"/>
    <xf numFmtId="0" fontId="24" fillId="7" borderId="202" applyNumberFormat="0" applyAlignment="0" applyProtection="0"/>
    <xf numFmtId="0" fontId="50" fillId="23" borderId="217" applyFill="0">
      <alignment horizontal="center" vertical="center" wrapText="1"/>
    </xf>
    <xf numFmtId="0" fontId="24" fillId="7" borderId="202" applyNumberFormat="0" applyAlignment="0" applyProtection="0"/>
    <xf numFmtId="0" fontId="24" fillId="7" borderId="202" applyNumberFormat="0" applyAlignment="0" applyProtection="0"/>
    <xf numFmtId="0" fontId="24" fillId="7" borderId="216" applyNumberFormat="0" applyAlignment="0" applyProtection="0"/>
    <xf numFmtId="0" fontId="49" fillId="23" borderId="203" applyFill="0">
      <alignment horizontal="center" vertical="center" wrapText="1"/>
    </xf>
    <xf numFmtId="0" fontId="24" fillId="7" borderId="216" applyNumberFormat="0" applyAlignment="0" applyProtection="0"/>
    <xf numFmtId="0" fontId="24" fillId="7" borderId="222" applyNumberFormat="0" applyAlignment="0" applyProtection="0"/>
    <xf numFmtId="0" fontId="50" fillId="23" borderId="203" applyFill="0">
      <alignment horizontal="center" vertical="center" wrapText="1"/>
    </xf>
    <xf numFmtId="0" fontId="10" fillId="26" borderId="224" applyNumberFormat="0" applyFont="0" applyAlignment="0" applyProtection="0"/>
    <xf numFmtId="0" fontId="24" fillId="7" borderId="209" applyNumberFormat="0" applyAlignment="0" applyProtection="0"/>
    <xf numFmtId="0" fontId="24" fillId="7" borderId="216" applyNumberFormat="0" applyAlignment="0" applyProtection="0"/>
    <xf numFmtId="0" fontId="26" fillId="20" borderId="205" applyNumberFormat="0" applyAlignment="0" applyProtection="0"/>
    <xf numFmtId="164" fontId="95" fillId="37" borderId="193">
      <alignment horizontal="right" vertical="center"/>
    </xf>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164" fontId="95" fillId="37" borderId="200">
      <alignment horizontal="right" vertical="center"/>
    </xf>
    <xf numFmtId="0" fontId="24" fillId="7" borderId="209" applyNumberFormat="0" applyAlignment="0" applyProtection="0"/>
    <xf numFmtId="0" fontId="24" fillId="7" borderId="216" applyNumberFormat="0" applyAlignment="0" applyProtection="0"/>
    <xf numFmtId="0" fontId="24" fillId="7" borderId="202" applyNumberFormat="0" applyAlignment="0" applyProtection="0"/>
    <xf numFmtId="0" fontId="24" fillId="7" borderId="202" applyNumberFormat="0" applyAlignment="0" applyProtection="0"/>
    <xf numFmtId="0" fontId="34" fillId="20" borderId="222" applyNumberFormat="0" applyAlignment="0" applyProtection="0"/>
    <xf numFmtId="0" fontId="50" fillId="23" borderId="223" applyFill="0">
      <alignment horizontal="center" vertical="center" wrapText="1"/>
    </xf>
    <xf numFmtId="0" fontId="24" fillId="7" borderId="222" applyNumberFormat="0" applyAlignment="0" applyProtection="0"/>
    <xf numFmtId="0" fontId="24" fillId="7" borderId="222" applyNumberFormat="0" applyAlignment="0" applyProtection="0"/>
    <xf numFmtId="0" fontId="24" fillId="7" borderId="209" applyNumberFormat="0" applyAlignment="0" applyProtection="0"/>
    <xf numFmtId="0" fontId="24" fillId="7" borderId="222" applyNumberFormat="0" applyAlignment="0" applyProtection="0"/>
    <xf numFmtId="0" fontId="24" fillId="7" borderId="209" applyNumberFormat="0" applyAlignment="0" applyProtection="0"/>
    <xf numFmtId="0" fontId="24" fillId="7" borderId="209" applyNumberFormat="0" applyAlignment="0" applyProtection="0"/>
    <xf numFmtId="0" fontId="24" fillId="7" borderId="209" applyNumberFormat="0" applyAlignment="0" applyProtection="0"/>
    <xf numFmtId="0" fontId="24" fillId="7" borderId="242" applyNumberFormat="0" applyAlignment="0" applyProtection="0"/>
    <xf numFmtId="0" fontId="34" fillId="20" borderId="216" applyNumberFormat="0" applyAlignment="0" applyProtection="0"/>
    <xf numFmtId="0" fontId="24" fillId="7" borderId="222" applyNumberFormat="0" applyAlignment="0" applyProtection="0"/>
    <xf numFmtId="0" fontId="24" fillId="7" borderId="222" applyNumberFormat="0" applyAlignment="0" applyProtection="0"/>
    <xf numFmtId="164" fontId="17" fillId="38" borderId="220">
      <alignment horizontal="left" vertical="center"/>
    </xf>
    <xf numFmtId="0" fontId="28" fillId="26" borderId="211" applyNumberFormat="0" applyAlignment="0" applyProtection="0"/>
    <xf numFmtId="0" fontId="24" fillId="7" borderId="216" applyNumberFormat="0" applyAlignment="0" applyProtection="0"/>
    <xf numFmtId="0" fontId="24" fillId="7" borderId="222" applyNumberFormat="0" applyAlignment="0" applyProtection="0"/>
    <xf numFmtId="0" fontId="26" fillId="20" borderId="219" applyNumberFormat="0" applyAlignment="0" applyProtection="0"/>
    <xf numFmtId="0" fontId="24" fillId="7" borderId="216" applyNumberFormat="0" applyAlignment="0" applyProtection="0"/>
    <xf numFmtId="0" fontId="28" fillId="26" borderId="224" applyNumberFormat="0" applyAlignment="0" applyProtection="0"/>
    <xf numFmtId="0" fontId="24" fillId="7" borderId="209" applyNumberFormat="0" applyAlignment="0" applyProtection="0"/>
    <xf numFmtId="0" fontId="24" fillId="7" borderId="209" applyNumberFormat="0" applyAlignment="0" applyProtection="0"/>
    <xf numFmtId="0" fontId="26" fillId="20" borderId="225" applyNumberFormat="0" applyAlignment="0" applyProtection="0"/>
    <xf numFmtId="0" fontId="24" fillId="7" borderId="209" applyNumberFormat="0" applyAlignment="0" applyProtection="0"/>
    <xf numFmtId="0" fontId="24" fillId="7" borderId="209" applyNumberFormat="0" applyAlignment="0" applyProtection="0"/>
    <xf numFmtId="0" fontId="34" fillId="20" borderId="222" applyNumberFormat="0" applyAlignment="0" applyProtection="0"/>
    <xf numFmtId="0" fontId="50" fillId="23" borderId="223" applyFill="0">
      <alignment horizontal="center" vertical="center" wrapText="1"/>
    </xf>
    <xf numFmtId="0" fontId="10" fillId="0" borderId="215" applyFont="0" applyFill="0" applyBorder="0" applyAlignment="0" applyProtection="0"/>
    <xf numFmtId="0" fontId="24" fillId="7" borderId="216" applyNumberFormat="0" applyAlignment="0" applyProtection="0"/>
    <xf numFmtId="0" fontId="24" fillId="7" borderId="216" applyNumberFormat="0" applyAlignment="0" applyProtection="0"/>
    <xf numFmtId="0" fontId="24" fillId="7" borderId="222" applyNumberFormat="0" applyAlignment="0" applyProtection="0"/>
    <xf numFmtId="0" fontId="24" fillId="7" borderId="216" applyNumberFormat="0" applyAlignment="0" applyProtection="0"/>
    <xf numFmtId="0" fontId="24" fillId="7" borderId="216" applyNumberFormat="0" applyAlignment="0" applyProtection="0"/>
    <xf numFmtId="186" fontId="14" fillId="0" borderId="215" applyFont="0" applyFill="0" applyBorder="0" applyAlignment="0" applyProtection="0"/>
    <xf numFmtId="0" fontId="24" fillId="7" borderId="222" applyNumberFormat="0" applyAlignment="0" applyProtection="0"/>
    <xf numFmtId="170" fontId="10" fillId="0" borderId="221" applyFont="0" applyFill="0" applyBorder="0" applyAlignment="0" applyProtection="0"/>
    <xf numFmtId="0" fontId="28" fillId="26" borderId="218" applyNumberFormat="0" applyAlignment="0" applyProtection="0"/>
    <xf numFmtId="0" fontId="24" fillId="7" borderId="222" applyNumberFormat="0" applyAlignment="0" applyProtection="0"/>
    <xf numFmtId="0" fontId="24" fillId="7" borderId="222" applyNumberFormat="0" applyAlignment="0" applyProtection="0"/>
    <xf numFmtId="0" fontId="24" fillId="7" borderId="216" applyNumberFormat="0" applyAlignment="0" applyProtection="0"/>
    <xf numFmtId="0" fontId="24" fillId="7" borderId="216" applyNumberFormat="0" applyAlignment="0" applyProtection="0"/>
    <xf numFmtId="0" fontId="24" fillId="7" borderId="216" applyNumberFormat="0" applyAlignment="0" applyProtection="0"/>
    <xf numFmtId="0" fontId="24" fillId="7" borderId="216" applyNumberFormat="0" applyAlignment="0" applyProtection="0"/>
    <xf numFmtId="0" fontId="14" fillId="23" borderId="217" applyFill="0">
      <alignment horizontal="center" vertical="center" wrapText="1"/>
    </xf>
    <xf numFmtId="0" fontId="24" fillId="7" borderId="222" applyNumberFormat="0" applyAlignment="0" applyProtection="0"/>
    <xf numFmtId="0" fontId="24" fillId="7" borderId="222" applyNumberFormat="0" applyAlignment="0" applyProtection="0"/>
    <xf numFmtId="0" fontId="50" fillId="23" borderId="223" applyFill="0">
      <alignment horizontal="center" vertical="center" wrapText="1"/>
    </xf>
    <xf numFmtId="0" fontId="24" fillId="7" borderId="222" applyNumberFormat="0" applyAlignment="0" applyProtection="0"/>
    <xf numFmtId="0" fontId="24" fillId="7" borderId="222" applyNumberFormat="0" applyAlignment="0" applyProtection="0"/>
    <xf numFmtId="0" fontId="26" fillId="20" borderId="225" applyNumberFormat="0" applyAlignment="0" applyProtection="0"/>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0" fontId="14" fillId="23" borderId="223" applyFill="0">
      <alignment horizontal="center" vertical="center" wrapText="1"/>
    </xf>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0" fontId="24" fillId="7" borderId="222" applyNumberFormat="0" applyAlignment="0" applyProtection="0"/>
    <xf numFmtId="0" fontId="49" fillId="23" borderId="223" applyFill="0">
      <alignment horizontal="center" vertical="center" wrapText="1"/>
    </xf>
    <xf numFmtId="0" fontId="50" fillId="23" borderId="223" applyFill="0">
      <alignment horizontal="center" vertical="center" wrapText="1"/>
    </xf>
    <xf numFmtId="164" fontId="95" fillId="37" borderId="220">
      <alignment horizontal="right" vertical="center"/>
    </xf>
    <xf numFmtId="0" fontId="24" fillId="7" borderId="222" applyNumberFormat="0" applyAlignment="0" applyProtection="0"/>
    <xf numFmtId="0" fontId="24" fillId="7" borderId="222"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229" applyNumberFormat="0" applyAlignment="0" applyProtection="0"/>
    <xf numFmtId="0" fontId="24" fillId="7" borderId="229" applyNumberFormat="0" applyAlignment="0" applyProtection="0"/>
    <xf numFmtId="0" fontId="24" fillId="7" borderId="229" applyNumberFormat="0" applyAlignment="0" applyProtection="0"/>
    <xf numFmtId="0" fontId="24" fillId="7" borderId="229"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83" applyNumberFormat="0" applyAlignment="0" applyProtection="0"/>
    <xf numFmtId="0" fontId="24" fillId="7" borderId="383"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76" applyNumberFormat="0" applyAlignment="0" applyProtection="0"/>
    <xf numFmtId="0" fontId="28" fillId="26" borderId="318" applyNumberFormat="0" applyAlignment="0" applyProtection="0"/>
    <xf numFmtId="0" fontId="28" fillId="26" borderId="325" applyNumberFormat="0" applyAlignment="0" applyProtection="0"/>
    <xf numFmtId="0" fontId="34" fillId="20" borderId="276"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289" applyNumberFormat="0" applyAlignment="0" applyProtection="0"/>
    <xf numFmtId="0" fontId="24" fillId="7" borderId="296" applyNumberFormat="0" applyAlignment="0" applyProtection="0"/>
    <xf numFmtId="0" fontId="24" fillId="7" borderId="303" applyNumberFormat="0" applyAlignment="0" applyProtection="0"/>
    <xf numFmtId="0" fontId="27" fillId="0" borderId="293" applyNumberFormat="0" applyFill="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9" fontId="18" fillId="0" borderId="0" applyFont="0" applyFill="0" applyBorder="0" applyAlignment="0" applyProtection="0"/>
    <xf numFmtId="0" fontId="24" fillId="7" borderId="242" applyNumberFormat="0" applyAlignment="0" applyProtection="0"/>
    <xf numFmtId="0" fontId="24" fillId="7" borderId="242" applyNumberFormat="0" applyAlignment="0" applyProtection="0"/>
    <xf numFmtId="0" fontId="24" fillId="7" borderId="256" applyNumberFormat="0" applyAlignment="0" applyProtection="0"/>
    <xf numFmtId="0" fontId="24" fillId="7" borderId="269" applyNumberFormat="0" applyAlignment="0" applyProtection="0"/>
    <xf numFmtId="0" fontId="24" fillId="7" borderId="242" applyNumberFormat="0" applyAlignment="0" applyProtection="0"/>
    <xf numFmtId="0" fontId="28" fillId="26" borderId="271" applyNumberFormat="0" applyAlignment="0" applyProtection="0"/>
    <xf numFmtId="0" fontId="24" fillId="7" borderId="242" applyNumberFormat="0" applyAlignment="0" applyProtection="0"/>
    <xf numFmtId="0" fontId="24" fillId="7" borderId="249"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63" applyNumberFormat="0" applyAlignment="0" applyProtection="0"/>
    <xf numFmtId="0" fontId="49" fillId="23" borderId="257" applyFill="0">
      <alignment horizontal="center" vertical="center" wrapText="1"/>
    </xf>
    <xf numFmtId="0" fontId="24" fillId="7" borderId="269" applyNumberFormat="0" applyAlignment="0" applyProtection="0"/>
    <xf numFmtId="0" fontId="24" fillId="7" borderId="269" applyNumberFormat="0" applyAlignment="0" applyProtection="0"/>
    <xf numFmtId="0" fontId="24" fillId="7" borderId="242" applyNumberFormat="0" applyAlignment="0" applyProtection="0"/>
    <xf numFmtId="164" fontId="17" fillId="38" borderId="261">
      <alignment horizontal="left" vertical="center"/>
    </xf>
    <xf numFmtId="0" fontId="34" fillId="20" borderId="269" applyNumberFormat="0" applyAlignment="0" applyProtection="0"/>
    <xf numFmtId="0" fontId="28" fillId="26" borderId="244" applyNumberFormat="0" applyAlignment="0" applyProtection="0"/>
    <xf numFmtId="0" fontId="10" fillId="26" borderId="231" applyNumberFormat="0" applyFont="0" applyAlignment="0" applyProtection="0"/>
    <xf numFmtId="0" fontId="24" fillId="7" borderId="263" applyNumberFormat="0" applyAlignment="0" applyProtection="0"/>
    <xf numFmtId="0" fontId="24" fillId="7" borderId="263" applyNumberFormat="0" applyAlignment="0" applyProtection="0"/>
    <xf numFmtId="0" fontId="24" fillId="7" borderId="289" applyNumberFormat="0" applyAlignment="0" applyProtection="0"/>
    <xf numFmtId="186" fontId="14" fillId="0" borderId="255" applyFont="0" applyFill="0" applyBorder="0" applyAlignment="0" applyProtection="0"/>
    <xf numFmtId="0" fontId="24" fillId="7" borderId="249" applyNumberFormat="0" applyAlignment="0" applyProtection="0"/>
    <xf numFmtId="0" fontId="24" fillId="7" borderId="249" applyNumberFormat="0" applyAlignment="0" applyProtection="0"/>
    <xf numFmtId="0" fontId="14" fillId="23" borderId="237" applyFill="0">
      <alignment horizontal="center" vertical="center" wrapText="1"/>
    </xf>
    <xf numFmtId="0" fontId="24" fillId="7" borderId="269" applyNumberFormat="0" applyAlignment="0" applyProtection="0"/>
    <xf numFmtId="0" fontId="24" fillId="7" borderId="269" applyNumberFormat="0" applyAlignment="0" applyProtection="0"/>
    <xf numFmtId="0" fontId="10" fillId="0" borderId="228" applyFont="0" applyFill="0" applyBorder="0" applyAlignment="0" applyProtection="0"/>
    <xf numFmtId="170" fontId="10" fillId="0" borderId="228" applyFont="0" applyFill="0" applyBorder="0" applyAlignment="0" applyProtection="0"/>
    <xf numFmtId="164" fontId="17" fillId="36" borderId="254">
      <alignment horizontal="center" vertical="center"/>
    </xf>
    <xf numFmtId="0" fontId="24" fillId="7" borderId="263" applyNumberFormat="0" applyAlignment="0" applyProtection="0"/>
    <xf numFmtId="164" fontId="17" fillId="38" borderId="234">
      <alignment horizontal="left" vertical="center"/>
    </xf>
    <xf numFmtId="0" fontId="24" fillId="7" borderId="242" applyNumberFormat="0" applyAlignment="0" applyProtection="0"/>
    <xf numFmtId="0" fontId="24" fillId="7" borderId="249" applyNumberFormat="0" applyAlignment="0" applyProtection="0"/>
    <xf numFmtId="0" fontId="24" fillId="7" borderId="249" applyNumberFormat="0" applyAlignment="0" applyProtection="0"/>
    <xf numFmtId="0" fontId="24" fillId="7" borderId="242" applyNumberFormat="0" applyAlignment="0" applyProtection="0"/>
    <xf numFmtId="0" fontId="24" fillId="7" borderId="256" applyNumberFormat="0" applyAlignment="0" applyProtection="0"/>
    <xf numFmtId="0" fontId="24" fillId="7" borderId="256" applyNumberFormat="0" applyAlignment="0" applyProtection="0"/>
    <xf numFmtId="0" fontId="49" fillId="23" borderId="243" applyFill="0">
      <alignment horizontal="center" vertical="center" wrapText="1"/>
    </xf>
    <xf numFmtId="0" fontId="24" fillId="7" borderId="256" applyNumberFormat="0" applyAlignment="0" applyProtection="0"/>
    <xf numFmtId="0" fontId="24" fillId="7" borderId="256" applyNumberFormat="0" applyAlignment="0" applyProtection="0"/>
    <xf numFmtId="164" fontId="17" fillId="36" borderId="240">
      <alignment horizontal="center" vertical="center"/>
    </xf>
    <xf numFmtId="0" fontId="28" fillId="26" borderId="265" applyNumberFormat="0" applyAlignment="0" applyProtection="0"/>
    <xf numFmtId="0" fontId="10" fillId="26" borderId="244" applyNumberFormat="0" applyFont="0" applyAlignment="0" applyProtection="0"/>
    <xf numFmtId="0" fontId="24" fillId="7" borderId="269" applyNumberFormat="0" applyAlignment="0" applyProtection="0"/>
    <xf numFmtId="186" fontId="14" fillId="0" borderId="268" applyFont="0" applyFill="0" applyBorder="0" applyAlignment="0" applyProtection="0"/>
    <xf numFmtId="164" fontId="17" fillId="38" borderId="247">
      <alignment horizontal="left" vertical="center"/>
    </xf>
    <xf numFmtId="0" fontId="50" fillId="23" borderId="257" applyFill="0">
      <alignment horizontal="center" vertical="center" wrapText="1"/>
    </xf>
    <xf numFmtId="0" fontId="26" fillId="20" borderId="272"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56" applyNumberFormat="0" applyAlignment="0" applyProtection="0"/>
    <xf numFmtId="0" fontId="24" fillId="7" borderId="269" applyNumberFormat="0" applyAlignment="0" applyProtection="0"/>
    <xf numFmtId="0" fontId="14" fillId="23" borderId="230" applyFill="0">
      <alignment horizontal="center" vertical="center" wrapText="1"/>
    </xf>
    <xf numFmtId="0" fontId="34" fillId="20" borderId="269" applyNumberFormat="0" applyAlignment="0" applyProtection="0"/>
    <xf numFmtId="0" fontId="26" fillId="20" borderId="259" applyNumberFormat="0" applyAlignment="0" applyProtection="0"/>
    <xf numFmtId="0" fontId="24" fillId="7" borderId="269" applyNumberFormat="0" applyAlignment="0" applyProtection="0"/>
    <xf numFmtId="0" fontId="50" fillId="23" borderId="243" applyFill="0">
      <alignment horizontal="center" vertical="center" wrapText="1"/>
    </xf>
    <xf numFmtId="0" fontId="24" fillId="7" borderId="249" applyNumberFormat="0" applyAlignment="0" applyProtection="0"/>
    <xf numFmtId="0" fontId="24" fillId="7" borderId="269" applyNumberFormat="0" applyAlignment="0" applyProtection="0"/>
    <xf numFmtId="0" fontId="24" fillId="7" borderId="256" applyNumberFormat="0" applyAlignment="0" applyProtection="0"/>
    <xf numFmtId="0" fontId="34" fillId="20" borderId="249" applyNumberFormat="0" applyAlignment="0" applyProtection="0"/>
    <xf numFmtId="0" fontId="24" fillId="7" borderId="263" applyNumberFormat="0" applyAlignment="0" applyProtection="0"/>
    <xf numFmtId="0" fontId="24" fillId="7" borderId="269" applyNumberFormat="0" applyAlignment="0" applyProtection="0"/>
    <xf numFmtId="186" fontId="14" fillId="0" borderId="235" applyFont="0" applyFill="0" applyBorder="0" applyAlignment="0" applyProtection="0"/>
    <xf numFmtId="0" fontId="24" fillId="7" borderId="263" applyNumberFormat="0" applyAlignment="0" applyProtection="0"/>
    <xf numFmtId="0" fontId="24" fillId="7" borderId="256" applyNumberFormat="0" applyAlignment="0" applyProtection="0"/>
    <xf numFmtId="0" fontId="24" fillId="7" borderId="249" applyNumberFormat="0" applyAlignment="0" applyProtection="0"/>
    <xf numFmtId="0" fontId="24" fillId="7" borderId="256" applyNumberFormat="0" applyAlignment="0" applyProtection="0"/>
    <xf numFmtId="0" fontId="24" fillId="7" borderId="256" applyNumberFormat="0" applyAlignment="0" applyProtection="0"/>
    <xf numFmtId="0" fontId="24" fillId="7" borderId="256" applyNumberFormat="0" applyAlignment="0" applyProtection="0"/>
    <xf numFmtId="0" fontId="14" fillId="23" borderId="257" applyFill="0">
      <alignment horizontal="center" vertical="center" wrapText="1"/>
    </xf>
    <xf numFmtId="0" fontId="24" fillId="7" borderId="256" applyNumberFormat="0" applyAlignment="0" applyProtection="0"/>
    <xf numFmtId="0" fontId="28" fillId="26" borderId="271" applyNumberFormat="0" applyAlignment="0" applyProtection="0"/>
    <xf numFmtId="0" fontId="10" fillId="0" borderId="268" applyFont="0" applyFill="0" applyBorder="0" applyAlignment="0" applyProtection="0"/>
    <xf numFmtId="0" fontId="34" fillId="20" borderId="229" applyNumberFormat="0" applyAlignment="0" applyProtection="0"/>
    <xf numFmtId="0" fontId="26" fillId="20" borderId="272" applyNumberFormat="0" applyAlignment="0" applyProtection="0"/>
    <xf numFmtId="0" fontId="34" fillId="20" borderId="242"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29" applyNumberFormat="0" applyAlignment="0" applyProtection="0"/>
    <xf numFmtId="0" fontId="24" fillId="7" borderId="229" applyNumberFormat="0" applyAlignment="0" applyProtection="0"/>
    <xf numFmtId="0" fontId="24" fillId="7" borderId="229" applyNumberFormat="0" applyAlignment="0" applyProtection="0"/>
    <xf numFmtId="0" fontId="24" fillId="7" borderId="242" applyNumberFormat="0" applyAlignment="0" applyProtection="0"/>
    <xf numFmtId="0" fontId="26" fillId="20" borderId="245" applyNumberFormat="0" applyAlignment="0" applyProtection="0"/>
    <xf numFmtId="0" fontId="26" fillId="20" borderId="232" applyNumberFormat="0" applyAlignment="0" applyProtection="0"/>
    <xf numFmtId="0" fontId="24" fillId="7" borderId="269" applyNumberFormat="0" applyAlignment="0" applyProtection="0"/>
    <xf numFmtId="0" fontId="27" fillId="0" borderId="233" applyNumberFormat="0" applyFill="0" applyAlignment="0" applyProtection="0"/>
    <xf numFmtId="0" fontId="24" fillId="7" borderId="263" applyNumberFormat="0" applyAlignment="0" applyProtection="0"/>
    <xf numFmtId="164" fontId="17" fillId="36" borderId="234">
      <alignment horizontal="center" vertical="center"/>
    </xf>
    <xf numFmtId="0" fontId="24" fillId="7" borderId="242" applyNumberFormat="0" applyAlignment="0" applyProtection="0"/>
    <xf numFmtId="0" fontId="28" fillId="26" borderId="251" applyNumberFormat="0" applyAlignment="0" applyProtection="0"/>
    <xf numFmtId="164" fontId="95" fillId="37" borderId="227">
      <alignment horizontal="right" vertical="center"/>
    </xf>
    <xf numFmtId="164" fontId="17" fillId="36" borderId="261">
      <alignment horizontal="center" vertical="center"/>
    </xf>
    <xf numFmtId="0" fontId="24" fillId="7" borderId="256" applyNumberFormat="0" applyAlignment="0" applyProtection="0"/>
    <xf numFmtId="0" fontId="26" fillId="20" borderId="259" applyNumberFormat="0" applyAlignment="0" applyProtection="0"/>
    <xf numFmtId="0" fontId="26" fillId="20" borderId="245" applyNumberFormat="0" applyAlignment="0" applyProtection="0"/>
    <xf numFmtId="164" fontId="17" fillId="38" borderId="227">
      <alignment horizontal="left" vertical="center"/>
    </xf>
    <xf numFmtId="0" fontId="24" fillId="7" borderId="242" applyNumberFormat="0" applyAlignment="0" applyProtection="0"/>
    <xf numFmtId="0" fontId="24" fillId="7" borderId="269" applyNumberFormat="0" applyAlignment="0" applyProtection="0"/>
    <xf numFmtId="170" fontId="10" fillId="0" borderId="262" applyFont="0" applyFill="0" applyBorder="0" applyAlignment="0" applyProtection="0"/>
    <xf numFmtId="0" fontId="34" fillId="20" borderId="269" applyNumberFormat="0" applyAlignment="0" applyProtection="0"/>
    <xf numFmtId="0" fontId="24" fillId="7" borderId="263" applyNumberFormat="0" applyAlignment="0" applyProtection="0"/>
    <xf numFmtId="0" fontId="24" fillId="7" borderId="269" applyNumberFormat="0" applyAlignment="0" applyProtection="0"/>
    <xf numFmtId="0" fontId="50" fillId="23" borderId="243" applyFill="0">
      <alignment horizontal="center" vertical="center" wrapText="1"/>
    </xf>
    <xf numFmtId="0" fontId="10" fillId="26" borderId="251" applyNumberFormat="0" applyFont="0" applyAlignment="0" applyProtection="0"/>
    <xf numFmtId="0" fontId="24" fillId="7" borderId="269" applyNumberFormat="0" applyAlignment="0" applyProtection="0"/>
    <xf numFmtId="0" fontId="24" fillId="7" borderId="242" applyNumberFormat="0" applyAlignment="0" applyProtection="0"/>
    <xf numFmtId="0" fontId="24" fillId="7" borderId="236" applyNumberFormat="0" applyAlignment="0" applyProtection="0"/>
    <xf numFmtId="0" fontId="26" fillId="20" borderId="239" applyNumberFormat="0" applyAlignment="0" applyProtection="0"/>
    <xf numFmtId="0" fontId="28" fillId="26" borderId="238" applyNumberFormat="0" applyAlignment="0" applyProtection="0"/>
    <xf numFmtId="0" fontId="24" fillId="7" borderId="242" applyNumberFormat="0" applyAlignment="0" applyProtection="0"/>
    <xf numFmtId="0" fontId="28" fillId="26" borderId="238" applyNumberFormat="0" applyAlignment="0" applyProtection="0"/>
    <xf numFmtId="0" fontId="26" fillId="20" borderId="239"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36" applyNumberFormat="0" applyAlignment="0" applyProtection="0"/>
    <xf numFmtId="0" fontId="24" fillId="7" borderId="256" applyNumberFormat="0" applyAlignment="0" applyProtection="0"/>
    <xf numFmtId="0" fontId="24" fillId="7" borderId="242" applyNumberFormat="0" applyAlignment="0" applyProtection="0"/>
    <xf numFmtId="0" fontId="24" fillId="7" borderId="269" applyNumberFormat="0" applyAlignment="0" applyProtection="0"/>
    <xf numFmtId="170" fontId="10" fillId="0" borderId="255" applyFont="0" applyFill="0" applyBorder="0" applyAlignment="0" applyProtection="0"/>
    <xf numFmtId="0" fontId="50" fillId="23" borderId="237" applyFill="0">
      <alignment horizontal="center" vertical="center" wrapText="1"/>
    </xf>
    <xf numFmtId="0" fontId="24" fillId="7" borderId="269" applyNumberFormat="0" applyAlignment="0" applyProtection="0"/>
    <xf numFmtId="0" fontId="24" fillId="7" borderId="256" applyNumberFormat="0" applyAlignment="0" applyProtection="0"/>
    <xf numFmtId="0" fontId="24" fillId="7" borderId="249" applyNumberFormat="0" applyAlignment="0" applyProtection="0"/>
    <xf numFmtId="0" fontId="24" fillId="7" borderId="263" applyNumberFormat="0" applyAlignment="0" applyProtection="0"/>
    <xf numFmtId="0" fontId="24" fillId="7" borderId="249" applyNumberFormat="0" applyAlignment="0" applyProtection="0"/>
    <xf numFmtId="0" fontId="24" fillId="7" borderId="249" applyNumberFormat="0" applyAlignment="0" applyProtection="0"/>
    <xf numFmtId="0" fontId="14" fillId="23" borderId="250" applyFill="0">
      <alignment horizontal="center" vertical="center" wrapText="1"/>
    </xf>
    <xf numFmtId="0" fontId="24" fillId="7" borderId="242" applyNumberFormat="0" applyAlignment="0" applyProtection="0"/>
    <xf numFmtId="0" fontId="27" fillId="0" borderId="253" applyNumberFormat="0" applyFill="0" applyAlignment="0" applyProtection="0"/>
    <xf numFmtId="0" fontId="24" fillId="7" borderId="269" applyNumberFormat="0" applyAlignment="0" applyProtection="0"/>
    <xf numFmtId="0" fontId="24" fillId="7" borderId="263" applyNumberFormat="0" applyAlignment="0" applyProtection="0"/>
    <xf numFmtId="0" fontId="24" fillId="7" borderId="256" applyNumberFormat="0" applyAlignment="0" applyProtection="0"/>
    <xf numFmtId="0" fontId="34" fillId="20" borderId="249" applyNumberFormat="0" applyAlignment="0" applyProtection="0"/>
    <xf numFmtId="0" fontId="34" fillId="20" borderId="236" applyNumberFormat="0" applyAlignment="0" applyProtection="0"/>
    <xf numFmtId="0" fontId="24" fillId="7" borderId="269" applyNumberFormat="0" applyAlignment="0" applyProtection="0"/>
    <xf numFmtId="0" fontId="50" fillId="23" borderId="237" applyFill="0">
      <alignment horizontal="center" vertical="center" wrapText="1"/>
    </xf>
    <xf numFmtId="0" fontId="24" fillId="7" borderId="256" applyNumberFormat="0" applyAlignment="0" applyProtection="0"/>
    <xf numFmtId="0" fontId="24" fillId="7" borderId="236" applyNumberFormat="0" applyAlignment="0" applyProtection="0"/>
    <xf numFmtId="0" fontId="34" fillId="20" borderId="236" applyNumberFormat="0" applyAlignment="0" applyProtection="0"/>
    <xf numFmtId="0" fontId="34" fillId="20" borderId="242" applyNumberFormat="0" applyAlignment="0" applyProtection="0"/>
    <xf numFmtId="0" fontId="24" fillId="7" borderId="249" applyNumberFormat="0" applyAlignment="0" applyProtection="0"/>
    <xf numFmtId="0" fontId="50" fillId="23" borderId="250" applyFill="0">
      <alignment horizontal="center" vertical="center" wrapText="1"/>
    </xf>
    <xf numFmtId="0" fontId="24" fillId="7" borderId="269" applyNumberFormat="0" applyAlignment="0" applyProtection="0"/>
    <xf numFmtId="0" fontId="49" fillId="23" borderId="237" applyFill="0">
      <alignment horizontal="center" vertical="center" wrapText="1"/>
    </xf>
    <xf numFmtId="0" fontId="24" fillId="7" borderId="269" applyNumberFormat="0" applyAlignment="0" applyProtection="0"/>
    <xf numFmtId="0" fontId="24" fillId="7" borderId="236" applyNumberFormat="0" applyAlignment="0" applyProtection="0"/>
    <xf numFmtId="170" fontId="10" fillId="0" borderId="241" applyFont="0" applyFill="0" applyBorder="0" applyAlignment="0" applyProtection="0"/>
    <xf numFmtId="0" fontId="24" fillId="7" borderId="236" applyNumberFormat="0" applyAlignment="0" applyProtection="0"/>
    <xf numFmtId="0" fontId="24" fillId="7" borderId="236" applyNumberFormat="0" applyAlignment="0" applyProtection="0"/>
    <xf numFmtId="0" fontId="27" fillId="0" borderId="260" applyNumberFormat="0" applyFill="0" applyAlignment="0" applyProtection="0"/>
    <xf numFmtId="0" fontId="24" fillId="7" borderId="236" applyNumberFormat="0" applyAlignment="0" applyProtection="0"/>
    <xf numFmtId="164" fontId="17" fillId="36" borderId="247">
      <alignment horizontal="center" vertical="center"/>
    </xf>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49" applyNumberFormat="0" applyAlignment="0" applyProtection="0"/>
    <xf numFmtId="0" fontId="26" fillId="20" borderId="272" applyNumberFormat="0" applyAlignment="0" applyProtection="0"/>
    <xf numFmtId="0" fontId="24" fillId="7" borderId="256" applyNumberFormat="0" applyAlignment="0" applyProtection="0"/>
    <xf numFmtId="0" fontId="24" fillId="7" borderId="236" applyNumberFormat="0" applyAlignment="0" applyProtection="0"/>
    <xf numFmtId="0" fontId="24" fillId="7" borderId="249" applyNumberFormat="0" applyAlignment="0" applyProtection="0"/>
    <xf numFmtId="0" fontId="24" fillId="7" borderId="249" applyNumberFormat="0" applyAlignment="0" applyProtection="0"/>
    <xf numFmtId="0" fontId="24" fillId="7" borderId="236" applyNumberFormat="0" applyAlignment="0" applyProtection="0"/>
    <xf numFmtId="0" fontId="24" fillId="7" borderId="269" applyNumberFormat="0" applyAlignment="0" applyProtection="0"/>
    <xf numFmtId="0" fontId="24" fillId="7" borderId="269" applyNumberFormat="0" applyAlignment="0" applyProtection="0"/>
    <xf numFmtId="170" fontId="10" fillId="0" borderId="248" applyFont="0" applyFill="0" applyBorder="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63" applyNumberFormat="0" applyAlignment="0" applyProtection="0"/>
    <xf numFmtId="0" fontId="24" fillId="7" borderId="236" applyNumberFormat="0" applyAlignment="0" applyProtection="0"/>
    <xf numFmtId="0" fontId="24" fillId="7" borderId="249"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56" applyNumberFormat="0" applyAlignment="0" applyProtection="0"/>
    <xf numFmtId="0" fontId="24" fillId="7" borderId="263" applyNumberFormat="0" applyAlignment="0" applyProtection="0"/>
    <xf numFmtId="0" fontId="24" fillId="7" borderId="256" applyNumberFormat="0" applyAlignment="0" applyProtection="0"/>
    <xf numFmtId="0" fontId="10" fillId="0" borderId="255" applyFont="0" applyFill="0" applyBorder="0" applyAlignment="0" applyProtection="0"/>
    <xf numFmtId="0" fontId="24" fillId="7" borderId="263" applyNumberFormat="0" applyAlignment="0" applyProtection="0"/>
    <xf numFmtId="0" fontId="49" fillId="23" borderId="264" applyFill="0">
      <alignment horizontal="center" vertical="center" wrapText="1"/>
    </xf>
    <xf numFmtId="164" fontId="17" fillId="38" borderId="240">
      <alignment horizontal="left" vertical="center"/>
    </xf>
    <xf numFmtId="0" fontId="24" fillId="7" borderId="256" applyNumberFormat="0" applyAlignment="0" applyProtection="0"/>
    <xf numFmtId="0" fontId="24" fillId="7" borderId="249" applyNumberFormat="0" applyAlignment="0" applyProtection="0"/>
    <xf numFmtId="0" fontId="24" fillId="7" borderId="269" applyNumberFormat="0" applyAlignment="0" applyProtection="0"/>
    <xf numFmtId="0" fontId="34" fillId="20" borderId="249" applyNumberFormat="0" applyAlignment="0" applyProtection="0"/>
    <xf numFmtId="0" fontId="27" fillId="0" borderId="273" applyNumberFormat="0" applyFill="0" applyAlignment="0" applyProtection="0"/>
    <xf numFmtId="0" fontId="24" fillId="7" borderId="263" applyNumberFormat="0" applyAlignment="0" applyProtection="0"/>
    <xf numFmtId="170" fontId="10" fillId="0" borderId="235" applyFont="0" applyFill="0" applyBorder="0" applyAlignment="0" applyProtection="0"/>
    <xf numFmtId="0" fontId="10" fillId="0" borderId="235" applyFont="0" applyFill="0" applyBorder="0" applyAlignment="0" applyProtection="0"/>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0" fontId="28" fillId="26" borderId="271" applyNumberFormat="0" applyAlignment="0" applyProtection="0"/>
    <xf numFmtId="0" fontId="24" fillId="7" borderId="269" applyNumberFormat="0" applyAlignment="0" applyProtection="0"/>
    <xf numFmtId="0" fontId="10" fillId="26" borderId="238" applyNumberFormat="0" applyFont="0" applyAlignment="0" applyProtection="0"/>
    <xf numFmtId="0" fontId="26" fillId="20" borderId="252" applyNumberFormat="0" applyAlignment="0" applyProtection="0"/>
    <xf numFmtId="0" fontId="10" fillId="26" borderId="258" applyNumberFormat="0" applyFont="0" applyAlignment="0" applyProtection="0"/>
    <xf numFmtId="0" fontId="10" fillId="26" borderId="265" applyNumberFormat="0" applyFont="0" applyAlignment="0" applyProtection="0"/>
    <xf numFmtId="0" fontId="24" fillId="7" borderId="249" applyNumberFormat="0" applyAlignment="0" applyProtection="0"/>
    <xf numFmtId="0" fontId="24" fillId="7" borderId="249" applyNumberFormat="0" applyAlignment="0" applyProtection="0"/>
    <xf numFmtId="0" fontId="24" fillId="7" borderId="249" applyNumberFormat="0" applyAlignment="0" applyProtection="0"/>
    <xf numFmtId="0" fontId="24" fillId="7" borderId="269" applyNumberFormat="0" applyAlignment="0" applyProtection="0"/>
    <xf numFmtId="0" fontId="50" fillId="23" borderId="257" applyFill="0">
      <alignment horizontal="center" vertical="center" wrapText="1"/>
    </xf>
    <xf numFmtId="0" fontId="24" fillId="7" borderId="249" applyNumberFormat="0" applyAlignment="0" applyProtection="0"/>
    <xf numFmtId="0" fontId="24" fillId="7" borderId="249" applyNumberFormat="0" applyAlignment="0" applyProtection="0"/>
    <xf numFmtId="0" fontId="24" fillId="7" borderId="269" applyNumberFormat="0" applyAlignment="0" applyProtection="0"/>
    <xf numFmtId="0" fontId="24" fillId="7" borderId="249" applyNumberFormat="0" applyAlignment="0" applyProtection="0"/>
    <xf numFmtId="164" fontId="17" fillId="36" borderId="267">
      <alignment horizontal="center" vertical="center"/>
    </xf>
    <xf numFmtId="0" fontId="24" fillId="7" borderId="249" applyNumberFormat="0" applyAlignment="0" applyProtection="0"/>
    <xf numFmtId="0" fontId="24" fillId="7" borderId="249"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69" applyNumberFormat="0" applyAlignment="0" applyProtection="0"/>
    <xf numFmtId="0" fontId="24" fillId="7" borderId="249" applyNumberFormat="0" applyAlignment="0" applyProtection="0"/>
    <xf numFmtId="0" fontId="26" fillId="20" borderId="259"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63" applyNumberFormat="0" applyAlignment="0" applyProtection="0"/>
    <xf numFmtId="0" fontId="24" fillId="7" borderId="236" applyNumberFormat="0" applyAlignment="0" applyProtection="0"/>
    <xf numFmtId="0" fontId="24" fillId="7" borderId="236" applyNumberFormat="0" applyAlignment="0" applyProtection="0"/>
    <xf numFmtId="0" fontId="24" fillId="7" borderId="269" applyNumberFormat="0" applyAlignment="0" applyProtection="0"/>
    <xf numFmtId="0" fontId="34" fillId="20" borderId="256" applyNumberFormat="0" applyAlignment="0" applyProtection="0"/>
    <xf numFmtId="0" fontId="24" fillId="7" borderId="269" applyNumberFormat="0" applyAlignment="0" applyProtection="0"/>
    <xf numFmtId="0" fontId="24" fillId="7" borderId="269" applyNumberFormat="0" applyAlignment="0" applyProtection="0"/>
    <xf numFmtId="0" fontId="10" fillId="0" borderId="241" applyFont="0" applyFill="0" applyBorder="0" applyAlignment="0" applyProtection="0"/>
    <xf numFmtId="0" fontId="34" fillId="20" borderId="256" applyNumberFormat="0" applyAlignment="0" applyProtection="0"/>
    <xf numFmtId="0" fontId="24" fillId="7" borderId="263" applyNumberFormat="0" applyAlignment="0" applyProtection="0"/>
    <xf numFmtId="0" fontId="24" fillId="7" borderId="256" applyNumberFormat="0" applyAlignment="0" applyProtection="0"/>
    <xf numFmtId="0" fontId="24" fillId="7" borderId="263" applyNumberFormat="0" applyAlignment="0" applyProtection="0"/>
    <xf numFmtId="0" fontId="24" fillId="7" borderId="242" applyNumberFormat="0" applyAlignment="0" applyProtection="0"/>
    <xf numFmtId="0" fontId="24" fillId="7" borderId="256"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42" applyNumberFormat="0" applyAlignment="0" applyProtection="0"/>
    <xf numFmtId="0" fontId="24" fillId="7" borderId="269" applyNumberFormat="0" applyAlignment="0" applyProtection="0"/>
    <xf numFmtId="0" fontId="26" fillId="20" borderId="266" applyNumberFormat="0" applyAlignment="0" applyProtection="0"/>
    <xf numFmtId="186" fontId="14" fillId="0" borderId="241" applyFont="0" applyFill="0" applyBorder="0" applyAlignment="0" applyProtection="0"/>
    <xf numFmtId="164" fontId="95" fillId="37" borderId="261">
      <alignment horizontal="right" vertical="center"/>
    </xf>
    <xf numFmtId="0" fontId="28" fillId="26" borderId="244" applyNumberFormat="0" applyAlignment="0" applyProtection="0"/>
    <xf numFmtId="0" fontId="34" fillId="20" borderId="242" applyNumberFormat="0" applyAlignment="0" applyProtection="0"/>
    <xf numFmtId="164" fontId="17" fillId="36" borderId="274">
      <alignment horizontal="center" vertical="center"/>
    </xf>
    <xf numFmtId="0" fontId="24" fillId="7" borderId="263" applyNumberFormat="0" applyAlignment="0" applyProtection="0"/>
    <xf numFmtId="0" fontId="34" fillId="20" borderId="256" applyNumberFormat="0" applyAlignment="0" applyProtection="0"/>
    <xf numFmtId="0" fontId="24" fillId="7" borderId="249" applyNumberFormat="0" applyAlignment="0" applyProtection="0"/>
    <xf numFmtId="0" fontId="26" fillId="20" borderId="252" applyNumberFormat="0" applyAlignment="0" applyProtection="0"/>
    <xf numFmtId="0" fontId="27" fillId="0" borderId="367" applyNumberFormat="0" applyFill="0" applyAlignment="0" applyProtection="0"/>
    <xf numFmtId="0" fontId="24" fillId="7" borderId="242" applyNumberFormat="0" applyAlignment="0" applyProtection="0"/>
    <xf numFmtId="0" fontId="24" fillId="7" borderId="242" applyNumberFormat="0" applyAlignment="0" applyProtection="0"/>
    <xf numFmtId="186" fontId="14" fillId="0" borderId="248" applyFont="0" applyFill="0" applyBorder="0" applyAlignment="0" applyProtection="0"/>
    <xf numFmtId="0" fontId="24" fillId="7" borderId="242" applyNumberFormat="0" applyAlignment="0" applyProtection="0"/>
    <xf numFmtId="0" fontId="24" fillId="7" borderId="242" applyNumberFormat="0" applyAlignment="0" applyProtection="0"/>
    <xf numFmtId="0" fontId="14" fillId="23" borderId="243" applyFill="0">
      <alignment horizontal="center" vertical="center" wrapText="1"/>
    </xf>
    <xf numFmtId="0" fontId="49" fillId="23" borderId="270" applyFill="0">
      <alignment horizontal="center" vertical="center" wrapText="1"/>
    </xf>
    <xf numFmtId="0" fontId="10" fillId="0" borderId="248" applyFont="0" applyFill="0" applyBorder="0" applyAlignment="0" applyProtection="0"/>
    <xf numFmtId="0" fontId="24" fillId="7" borderId="249" applyNumberFormat="0" applyAlignment="0" applyProtection="0"/>
    <xf numFmtId="0" fontId="24" fillId="7" borderId="249" applyNumberFormat="0" applyAlignment="0" applyProtection="0"/>
    <xf numFmtId="0" fontId="50" fillId="23" borderId="264" applyFill="0">
      <alignment horizontal="center" vertical="center" wrapText="1"/>
    </xf>
    <xf numFmtId="0" fontId="24" fillId="7" borderId="249" applyNumberFormat="0" applyAlignment="0" applyProtection="0"/>
    <xf numFmtId="0" fontId="24" fillId="7" borderId="249" applyNumberFormat="0" applyAlignment="0" applyProtection="0"/>
    <xf numFmtId="0" fontId="24" fillId="7" borderId="263" applyNumberFormat="0" applyAlignment="0" applyProtection="0"/>
    <xf numFmtId="0" fontId="49" fillId="23" borderId="250" applyFill="0">
      <alignment horizontal="center" vertical="center" wrapText="1"/>
    </xf>
    <xf numFmtId="0" fontId="24" fillId="7" borderId="263" applyNumberFormat="0" applyAlignment="0" applyProtection="0"/>
    <xf numFmtId="0" fontId="24" fillId="7" borderId="269" applyNumberFormat="0" applyAlignment="0" applyProtection="0"/>
    <xf numFmtId="0" fontId="50" fillId="23" borderId="250" applyFill="0">
      <alignment horizontal="center" vertical="center" wrapText="1"/>
    </xf>
    <xf numFmtId="0" fontId="10" fillId="26" borderId="271" applyNumberFormat="0" applyFont="0" applyAlignment="0" applyProtection="0"/>
    <xf numFmtId="0" fontId="24" fillId="7" borderId="256" applyNumberFormat="0" applyAlignment="0" applyProtection="0"/>
    <xf numFmtId="0" fontId="24" fillId="7" borderId="263" applyNumberFormat="0" applyAlignment="0" applyProtection="0"/>
    <xf numFmtId="0" fontId="26" fillId="20" borderId="252" applyNumberFormat="0" applyAlignment="0" applyProtection="0"/>
    <xf numFmtId="164" fontId="95" fillId="37" borderId="240">
      <alignment horizontal="right" vertical="center"/>
    </xf>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164" fontId="95" fillId="37" borderId="247">
      <alignment horizontal="right" vertical="center"/>
    </xf>
    <xf numFmtId="0" fontId="24" fillId="7" borderId="256" applyNumberFormat="0" applyAlignment="0" applyProtection="0"/>
    <xf numFmtId="0" fontId="24" fillId="7" borderId="263" applyNumberFormat="0" applyAlignment="0" applyProtection="0"/>
    <xf numFmtId="0" fontId="24" fillId="7" borderId="249" applyNumberFormat="0" applyAlignment="0" applyProtection="0"/>
    <xf numFmtId="0" fontId="24" fillId="7" borderId="249" applyNumberFormat="0" applyAlignment="0" applyProtection="0"/>
    <xf numFmtId="0" fontId="34" fillId="20" borderId="269" applyNumberFormat="0" applyAlignment="0" applyProtection="0"/>
    <xf numFmtId="0" fontId="50" fillId="23" borderId="270" applyFill="0">
      <alignment horizontal="center" vertical="center" wrapText="1"/>
    </xf>
    <xf numFmtId="0" fontId="24" fillId="7" borderId="269" applyNumberFormat="0" applyAlignment="0" applyProtection="0"/>
    <xf numFmtId="0" fontId="24" fillId="7" borderId="269" applyNumberFormat="0" applyAlignment="0" applyProtection="0"/>
    <xf numFmtId="0" fontId="24" fillId="7" borderId="256" applyNumberFormat="0" applyAlignment="0" applyProtection="0"/>
    <xf numFmtId="0" fontId="24" fillId="7" borderId="269" applyNumberFormat="0" applyAlignment="0" applyProtection="0"/>
    <xf numFmtId="0" fontId="24" fillId="7" borderId="256" applyNumberFormat="0" applyAlignment="0" applyProtection="0"/>
    <xf numFmtId="0" fontId="24" fillId="7" borderId="256" applyNumberFormat="0" applyAlignment="0" applyProtection="0"/>
    <xf numFmtId="0" fontId="24" fillId="7" borderId="256" applyNumberFormat="0" applyAlignment="0" applyProtection="0"/>
    <xf numFmtId="0" fontId="28" fillId="26" borderId="305" applyNumberFormat="0" applyAlignment="0" applyProtection="0"/>
    <xf numFmtId="0" fontId="34" fillId="20" borderId="263" applyNumberFormat="0" applyAlignment="0" applyProtection="0"/>
    <xf numFmtId="0" fontId="24" fillId="7" borderId="269" applyNumberFormat="0" applyAlignment="0" applyProtection="0"/>
    <xf numFmtId="0" fontId="24" fillId="7" borderId="269" applyNumberFormat="0" applyAlignment="0" applyProtection="0"/>
    <xf numFmtId="164" fontId="17" fillId="38" borderId="267">
      <alignment horizontal="left" vertical="center"/>
    </xf>
    <xf numFmtId="0" fontId="28" fillId="26" borderId="258" applyNumberFormat="0" applyAlignment="0" applyProtection="0"/>
    <xf numFmtId="0" fontId="24" fillId="7" borderId="263" applyNumberFormat="0" applyAlignment="0" applyProtection="0"/>
    <xf numFmtId="0" fontId="24" fillId="7" borderId="269" applyNumberFormat="0" applyAlignment="0" applyProtection="0"/>
    <xf numFmtId="0" fontId="26" fillId="20" borderId="266" applyNumberFormat="0" applyAlignment="0" applyProtection="0"/>
    <xf numFmtId="0" fontId="24" fillId="7" borderId="263" applyNumberFormat="0" applyAlignment="0" applyProtection="0"/>
    <xf numFmtId="0" fontId="28" fillId="26" borderId="271" applyNumberFormat="0" applyAlignment="0" applyProtection="0"/>
    <xf numFmtId="0" fontId="24" fillId="7" borderId="256" applyNumberFormat="0" applyAlignment="0" applyProtection="0"/>
    <xf numFmtId="0" fontId="24" fillId="7" borderId="256" applyNumberFormat="0" applyAlignment="0" applyProtection="0"/>
    <xf numFmtId="0" fontId="26" fillId="20" borderId="272" applyNumberFormat="0" applyAlignment="0" applyProtection="0"/>
    <xf numFmtId="0" fontId="24" fillId="7" borderId="256" applyNumberFormat="0" applyAlignment="0" applyProtection="0"/>
    <xf numFmtId="0" fontId="24" fillId="7" borderId="256" applyNumberFormat="0" applyAlignment="0" applyProtection="0"/>
    <xf numFmtId="0" fontId="34" fillId="20" borderId="269" applyNumberFormat="0" applyAlignment="0" applyProtection="0"/>
    <xf numFmtId="0" fontId="50" fillId="23" borderId="270" applyFill="0">
      <alignment horizontal="center" vertical="center" wrapText="1"/>
    </xf>
    <xf numFmtId="0" fontId="10" fillId="0" borderId="262" applyFont="0" applyFill="0" applyBorder="0" applyAlignment="0" applyProtection="0"/>
    <xf numFmtId="0" fontId="24" fillId="7" borderId="263" applyNumberFormat="0" applyAlignment="0" applyProtection="0"/>
    <xf numFmtId="0" fontId="24" fillId="7" borderId="263" applyNumberFormat="0" applyAlignment="0" applyProtection="0"/>
    <xf numFmtId="0" fontId="24" fillId="7" borderId="269" applyNumberFormat="0" applyAlignment="0" applyProtection="0"/>
    <xf numFmtId="0" fontId="24" fillId="7" borderId="263" applyNumberFormat="0" applyAlignment="0" applyProtection="0"/>
    <xf numFmtId="0" fontId="24" fillId="7" borderId="263" applyNumberFormat="0" applyAlignment="0" applyProtection="0"/>
    <xf numFmtId="186" fontId="14" fillId="0" borderId="262" applyFont="0" applyFill="0" applyBorder="0" applyAlignment="0" applyProtection="0"/>
    <xf numFmtId="0" fontId="24" fillId="7" borderId="269" applyNumberFormat="0" applyAlignment="0" applyProtection="0"/>
    <xf numFmtId="170" fontId="10" fillId="0" borderId="268" applyFont="0" applyFill="0" applyBorder="0" applyAlignment="0" applyProtection="0"/>
    <xf numFmtId="0" fontId="28" fillId="26" borderId="265"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63" applyNumberFormat="0" applyAlignment="0" applyProtection="0"/>
    <xf numFmtId="0" fontId="24" fillId="7" borderId="263" applyNumberFormat="0" applyAlignment="0" applyProtection="0"/>
    <xf numFmtId="0" fontId="24" fillId="7" borderId="263" applyNumberFormat="0" applyAlignment="0" applyProtection="0"/>
    <xf numFmtId="0" fontId="24" fillId="7" borderId="263" applyNumberFormat="0" applyAlignment="0" applyProtection="0"/>
    <xf numFmtId="0" fontId="14" fillId="23" borderId="264" applyFill="0">
      <alignment horizontal="center" vertical="center" wrapText="1"/>
    </xf>
    <xf numFmtId="0" fontId="24" fillId="7" borderId="269" applyNumberFormat="0" applyAlignment="0" applyProtection="0"/>
    <xf numFmtId="0" fontId="24" fillId="7" borderId="269" applyNumberFormat="0" applyAlignment="0" applyProtection="0"/>
    <xf numFmtId="0" fontId="50" fillId="23" borderId="270" applyFill="0">
      <alignment horizontal="center" vertical="center" wrapText="1"/>
    </xf>
    <xf numFmtId="0" fontId="24" fillId="7" borderId="269" applyNumberFormat="0" applyAlignment="0" applyProtection="0"/>
    <xf numFmtId="0" fontId="24" fillId="7" borderId="269" applyNumberFormat="0" applyAlignment="0" applyProtection="0"/>
    <xf numFmtId="0" fontId="26" fillId="20" borderId="272"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0" fontId="14" fillId="23" borderId="270" applyFill="0">
      <alignment horizontal="center" vertical="center" wrapText="1"/>
    </xf>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0" fontId="24" fillId="7" borderId="269" applyNumberFormat="0" applyAlignment="0" applyProtection="0"/>
    <xf numFmtId="0" fontId="49" fillId="23" borderId="270" applyFill="0">
      <alignment horizontal="center" vertical="center" wrapText="1"/>
    </xf>
    <xf numFmtId="0" fontId="50" fillId="23" borderId="270" applyFill="0">
      <alignment horizontal="center" vertical="center" wrapText="1"/>
    </xf>
    <xf numFmtId="164" fontId="95" fillId="37" borderId="267">
      <alignment horizontal="right" vertical="center"/>
    </xf>
    <xf numFmtId="0" fontId="24" fillId="7" borderId="269" applyNumberFormat="0" applyAlignment="0" applyProtection="0"/>
    <xf numFmtId="0" fontId="24" fillId="7" borderId="269" applyNumberFormat="0" applyAlignment="0" applyProtection="0"/>
    <xf numFmtId="0" fontId="49" fillId="23" borderId="371" applyFill="0">
      <alignment horizontal="center" vertical="center" wrapText="1"/>
    </xf>
    <xf numFmtId="0" fontId="24" fillId="7" borderId="370" applyNumberFormat="0" applyAlignment="0" applyProtection="0"/>
    <xf numFmtId="0" fontId="24" fillId="7" borderId="370"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76" applyNumberFormat="0" applyAlignment="0" applyProtection="0"/>
    <xf numFmtId="0" fontId="24" fillId="7" borderId="370" applyNumberFormat="0" applyAlignment="0" applyProtection="0"/>
    <xf numFmtId="0" fontId="50" fillId="23" borderId="405" applyFill="0">
      <alignment horizontal="center" vertical="center" wrapText="1"/>
    </xf>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50" fillId="23" borderId="324" applyFill="0">
      <alignment horizontal="center" vertical="center" wrapText="1"/>
    </xf>
    <xf numFmtId="0" fontId="50" fillId="23" borderId="371" applyFill="0">
      <alignment horizontal="center" vertical="center" wrapText="1"/>
    </xf>
    <xf numFmtId="0" fontId="50" fillId="23" borderId="324" applyFill="0">
      <alignment horizontal="center" vertical="center" wrapText="1"/>
    </xf>
    <xf numFmtId="0" fontId="27" fillId="0" borderId="320" applyNumberFormat="0" applyFill="0" applyAlignment="0" applyProtection="0"/>
    <xf numFmtId="0" fontId="26" fillId="20" borderId="339" applyNumberFormat="0" applyAlignment="0" applyProtection="0"/>
    <xf numFmtId="0" fontId="24" fillId="7" borderId="343" applyNumberFormat="0" applyAlignment="0" applyProtection="0"/>
    <xf numFmtId="0" fontId="24" fillId="7" borderId="336" applyNumberFormat="0" applyAlignment="0" applyProtection="0"/>
    <xf numFmtId="0" fontId="24" fillId="7" borderId="370" applyNumberFormat="0" applyAlignment="0" applyProtection="0"/>
    <xf numFmtId="0" fontId="14" fillId="23" borderId="364" applyFill="0">
      <alignment horizontal="center" vertical="center" wrapText="1"/>
    </xf>
    <xf numFmtId="0" fontId="44" fillId="0" borderId="0"/>
    <xf numFmtId="9" fontId="18" fillId="0" borderId="0" applyFont="0" applyFill="0" applyBorder="0" applyAlignment="0" applyProtection="0"/>
    <xf numFmtId="0" fontId="24" fillId="7" borderId="289" applyNumberFormat="0" applyAlignment="0" applyProtection="0"/>
    <xf numFmtId="0" fontId="24" fillId="7" borderId="289" applyNumberFormat="0" applyAlignment="0" applyProtection="0"/>
    <xf numFmtId="0" fontId="24" fillId="7" borderId="303" applyNumberFormat="0" applyAlignment="0" applyProtection="0"/>
    <xf numFmtId="0" fontId="24" fillId="7" borderId="316" applyNumberFormat="0" applyAlignment="0" applyProtection="0"/>
    <xf numFmtId="0" fontId="24" fillId="7" borderId="289" applyNumberFormat="0" applyAlignment="0" applyProtection="0"/>
    <xf numFmtId="0" fontId="28" fillId="26" borderId="318" applyNumberFormat="0" applyAlignment="0" applyProtection="0"/>
    <xf numFmtId="0" fontId="24" fillId="7" borderId="289" applyNumberFormat="0" applyAlignment="0" applyProtection="0"/>
    <xf numFmtId="0" fontId="24" fillId="7" borderId="296" applyNumberFormat="0" applyAlignment="0" applyProtection="0"/>
    <xf numFmtId="0" fontId="24" fillId="7" borderId="289" applyNumberFormat="0" applyAlignment="0" applyProtection="0"/>
    <xf numFmtId="0" fontId="24" fillId="7" borderId="289" applyNumberFormat="0" applyAlignment="0" applyProtection="0"/>
    <xf numFmtId="0" fontId="24" fillId="7" borderId="310" applyNumberFormat="0" applyAlignment="0" applyProtection="0"/>
    <xf numFmtId="0" fontId="49" fillId="23" borderId="304" applyFill="0">
      <alignment horizontal="center" vertical="center" wrapText="1"/>
    </xf>
    <xf numFmtId="0" fontId="24" fillId="7" borderId="316" applyNumberFormat="0" applyAlignment="0" applyProtection="0"/>
    <xf numFmtId="0" fontId="24" fillId="7" borderId="316" applyNumberFormat="0" applyAlignment="0" applyProtection="0"/>
    <xf numFmtId="0" fontId="24" fillId="7" borderId="289" applyNumberFormat="0" applyAlignment="0" applyProtection="0"/>
    <xf numFmtId="164" fontId="17" fillId="38" borderId="308">
      <alignment horizontal="left" vertical="center"/>
    </xf>
    <xf numFmtId="0" fontId="34" fillId="20" borderId="316" applyNumberFormat="0" applyAlignment="0" applyProtection="0"/>
    <xf numFmtId="0" fontId="28" fillId="26" borderId="291" applyNumberFormat="0" applyAlignment="0" applyProtection="0"/>
    <xf numFmtId="0" fontId="10" fillId="26" borderId="278" applyNumberFormat="0" applyFont="0" applyAlignment="0" applyProtection="0"/>
    <xf numFmtId="0" fontId="24" fillId="7" borderId="310" applyNumberFormat="0" applyAlignment="0" applyProtection="0"/>
    <xf numFmtId="0" fontId="24" fillId="7" borderId="310" applyNumberFormat="0" applyAlignment="0" applyProtection="0"/>
    <xf numFmtId="186" fontId="14" fillId="0" borderId="302" applyFont="0" applyFill="0" applyBorder="0" applyAlignment="0" applyProtection="0"/>
    <xf numFmtId="0" fontId="24" fillId="7" borderId="296" applyNumberFormat="0" applyAlignment="0" applyProtection="0"/>
    <xf numFmtId="0" fontId="24" fillId="7" borderId="296" applyNumberFormat="0" applyAlignment="0" applyProtection="0"/>
    <xf numFmtId="0" fontId="14" fillId="23" borderId="284" applyFill="0">
      <alignment horizontal="center" vertical="center" wrapText="1"/>
    </xf>
    <xf numFmtId="0" fontId="24" fillId="7" borderId="316" applyNumberFormat="0" applyAlignment="0" applyProtection="0"/>
    <xf numFmtId="0" fontId="24" fillId="7" borderId="316" applyNumberFormat="0" applyAlignment="0" applyProtection="0"/>
    <xf numFmtId="0" fontId="10" fillId="0" borderId="275" applyFont="0" applyFill="0" applyBorder="0" applyAlignment="0" applyProtection="0"/>
    <xf numFmtId="170" fontId="10" fillId="0" borderId="275" applyFont="0" applyFill="0" applyBorder="0" applyAlignment="0" applyProtection="0"/>
    <xf numFmtId="164" fontId="17" fillId="36" borderId="301">
      <alignment horizontal="center" vertical="center"/>
    </xf>
    <xf numFmtId="0" fontId="24" fillId="7" borderId="310" applyNumberFormat="0" applyAlignment="0" applyProtection="0"/>
    <xf numFmtId="164" fontId="17" fillId="38" borderId="281">
      <alignment horizontal="left" vertical="center"/>
    </xf>
    <xf numFmtId="0" fontId="24" fillId="7" borderId="289" applyNumberFormat="0" applyAlignment="0" applyProtection="0"/>
    <xf numFmtId="0" fontId="24" fillId="7" borderId="296" applyNumberFormat="0" applyAlignment="0" applyProtection="0"/>
    <xf numFmtId="0" fontId="24" fillId="7" borderId="296" applyNumberFormat="0" applyAlignment="0" applyProtection="0"/>
    <xf numFmtId="0" fontId="24" fillId="7" borderId="289" applyNumberFormat="0" applyAlignment="0" applyProtection="0"/>
    <xf numFmtId="0" fontId="24" fillId="7" borderId="303" applyNumberFormat="0" applyAlignment="0" applyProtection="0"/>
    <xf numFmtId="0" fontId="24" fillId="7" borderId="303" applyNumberFormat="0" applyAlignment="0" applyProtection="0"/>
    <xf numFmtId="0" fontId="49" fillId="23" borderId="290" applyFill="0">
      <alignment horizontal="center" vertical="center" wrapText="1"/>
    </xf>
    <xf numFmtId="0" fontId="24" fillId="7" borderId="303" applyNumberFormat="0" applyAlignment="0" applyProtection="0"/>
    <xf numFmtId="0" fontId="24" fillId="7" borderId="303" applyNumberFormat="0" applyAlignment="0" applyProtection="0"/>
    <xf numFmtId="164" fontId="17" fillId="36" borderId="287">
      <alignment horizontal="center" vertical="center"/>
    </xf>
    <xf numFmtId="0" fontId="28" fillId="26" borderId="312" applyNumberFormat="0" applyAlignment="0" applyProtection="0"/>
    <xf numFmtId="0" fontId="10" fillId="26" borderId="291" applyNumberFormat="0" applyFont="0" applyAlignment="0" applyProtection="0"/>
    <xf numFmtId="0" fontId="24" fillId="7" borderId="316" applyNumberFormat="0" applyAlignment="0" applyProtection="0"/>
    <xf numFmtId="186" fontId="14" fillId="0" borderId="315" applyFont="0" applyFill="0" applyBorder="0" applyAlignment="0" applyProtection="0"/>
    <xf numFmtId="164" fontId="17" fillId="38" borderId="294">
      <alignment horizontal="left" vertical="center"/>
    </xf>
    <xf numFmtId="0" fontId="50" fillId="23" borderId="304" applyFill="0">
      <alignment horizontal="center" vertical="center" wrapText="1"/>
    </xf>
    <xf numFmtId="0" fontId="26" fillId="20" borderId="319" applyNumberFormat="0" applyAlignment="0" applyProtection="0"/>
    <xf numFmtId="0" fontId="24" fillId="7" borderId="289" applyNumberFormat="0" applyAlignment="0" applyProtection="0"/>
    <xf numFmtId="0" fontId="24" fillId="7" borderId="289" applyNumberFormat="0" applyAlignment="0" applyProtection="0"/>
    <xf numFmtId="0" fontId="24" fillId="7" borderId="303" applyNumberFormat="0" applyAlignment="0" applyProtection="0"/>
    <xf numFmtId="0" fontId="24" fillId="7" borderId="316" applyNumberFormat="0" applyAlignment="0" applyProtection="0"/>
    <xf numFmtId="0" fontId="14" fillId="23" borderId="277" applyFill="0">
      <alignment horizontal="center" vertical="center" wrapText="1"/>
    </xf>
    <xf numFmtId="0" fontId="34" fillId="20" borderId="316" applyNumberFormat="0" applyAlignment="0" applyProtection="0"/>
    <xf numFmtId="0" fontId="26" fillId="20" borderId="306" applyNumberFormat="0" applyAlignment="0" applyProtection="0"/>
    <xf numFmtId="0" fontId="24" fillId="7" borderId="316" applyNumberFormat="0" applyAlignment="0" applyProtection="0"/>
    <xf numFmtId="0" fontId="50" fillId="23" borderId="290" applyFill="0">
      <alignment horizontal="center" vertical="center" wrapText="1"/>
    </xf>
    <xf numFmtId="0" fontId="24" fillId="7" borderId="296" applyNumberFormat="0" applyAlignment="0" applyProtection="0"/>
    <xf numFmtId="0" fontId="24" fillId="7" borderId="316" applyNumberFormat="0" applyAlignment="0" applyProtection="0"/>
    <xf numFmtId="0" fontId="24" fillId="7" borderId="303" applyNumberFormat="0" applyAlignment="0" applyProtection="0"/>
    <xf numFmtId="0" fontId="34" fillId="20" borderId="296" applyNumberFormat="0" applyAlignment="0" applyProtection="0"/>
    <xf numFmtId="0" fontId="24" fillId="7" borderId="310" applyNumberFormat="0" applyAlignment="0" applyProtection="0"/>
    <xf numFmtId="0" fontId="24" fillId="7" borderId="316" applyNumberFormat="0" applyAlignment="0" applyProtection="0"/>
    <xf numFmtId="186" fontId="14" fillId="0" borderId="282" applyFont="0" applyFill="0" applyBorder="0" applyAlignment="0" applyProtection="0"/>
    <xf numFmtId="0" fontId="24" fillId="7" borderId="310" applyNumberFormat="0" applyAlignment="0" applyProtection="0"/>
    <xf numFmtId="0" fontId="24" fillId="7" borderId="303" applyNumberFormat="0" applyAlignment="0" applyProtection="0"/>
    <xf numFmtId="0" fontId="24" fillId="7" borderId="296" applyNumberFormat="0" applyAlignment="0" applyProtection="0"/>
    <xf numFmtId="0" fontId="24" fillId="7" borderId="303" applyNumberFormat="0" applyAlignment="0" applyProtection="0"/>
    <xf numFmtId="0" fontId="24" fillId="7" borderId="303" applyNumberFormat="0" applyAlignment="0" applyProtection="0"/>
    <xf numFmtId="0" fontId="24" fillId="7" borderId="303" applyNumberFormat="0" applyAlignment="0" applyProtection="0"/>
    <xf numFmtId="0" fontId="14" fillId="23" borderId="304" applyFill="0">
      <alignment horizontal="center" vertical="center" wrapText="1"/>
    </xf>
    <xf numFmtId="0" fontId="24" fillId="7" borderId="303" applyNumberFormat="0" applyAlignment="0" applyProtection="0"/>
    <xf numFmtId="0" fontId="28" fillId="26" borderId="318" applyNumberFormat="0" applyAlignment="0" applyProtection="0"/>
    <xf numFmtId="0" fontId="10" fillId="0" borderId="315" applyFont="0" applyFill="0" applyBorder="0" applyAlignment="0" applyProtection="0"/>
    <xf numFmtId="0" fontId="34" fillId="20" borderId="276" applyNumberFormat="0" applyAlignment="0" applyProtection="0"/>
    <xf numFmtId="0" fontId="26" fillId="20" borderId="319" applyNumberFormat="0" applyAlignment="0" applyProtection="0"/>
    <xf numFmtId="0" fontId="34" fillId="20" borderId="289" applyNumberFormat="0" applyAlignment="0" applyProtection="0"/>
    <xf numFmtId="0" fontId="24" fillId="7" borderId="316" applyNumberFormat="0" applyAlignment="0" applyProtection="0"/>
    <xf numFmtId="0" fontId="24" fillId="7" borderId="316"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76" applyNumberFormat="0" applyAlignment="0" applyProtection="0"/>
    <xf numFmtId="0" fontId="24" fillId="7" borderId="289" applyNumberFormat="0" applyAlignment="0" applyProtection="0"/>
    <xf numFmtId="0" fontId="26" fillId="20" borderId="292" applyNumberFormat="0" applyAlignment="0" applyProtection="0"/>
    <xf numFmtId="0" fontId="26" fillId="20" borderId="279" applyNumberFormat="0" applyAlignment="0" applyProtection="0"/>
    <xf numFmtId="0" fontId="24" fillId="7" borderId="316" applyNumberFormat="0" applyAlignment="0" applyProtection="0"/>
    <xf numFmtId="0" fontId="27" fillId="0" borderId="280" applyNumberFormat="0" applyFill="0" applyAlignment="0" applyProtection="0"/>
    <xf numFmtId="0" fontId="24" fillId="7" borderId="310" applyNumberFormat="0" applyAlignment="0" applyProtection="0"/>
    <xf numFmtId="164" fontId="17" fillId="36" borderId="281">
      <alignment horizontal="center" vertical="center"/>
    </xf>
    <xf numFmtId="0" fontId="24" fillId="7" borderId="289" applyNumberFormat="0" applyAlignment="0" applyProtection="0"/>
    <xf numFmtId="0" fontId="28" fillId="26" borderId="298" applyNumberFormat="0" applyAlignment="0" applyProtection="0"/>
    <xf numFmtId="164" fontId="95" fillId="37" borderId="274">
      <alignment horizontal="right" vertical="center"/>
    </xf>
    <xf numFmtId="164" fontId="17" fillId="36" borderId="308">
      <alignment horizontal="center" vertical="center"/>
    </xf>
    <xf numFmtId="0" fontId="24" fillId="7" borderId="303" applyNumberFormat="0" applyAlignment="0" applyProtection="0"/>
    <xf numFmtId="0" fontId="26" fillId="20" borderId="306" applyNumberFormat="0" applyAlignment="0" applyProtection="0"/>
    <xf numFmtId="0" fontId="26" fillId="20" borderId="292" applyNumberFormat="0" applyAlignment="0" applyProtection="0"/>
    <xf numFmtId="164" fontId="17" fillId="38" borderId="274">
      <alignment horizontal="left" vertical="center"/>
    </xf>
    <xf numFmtId="0" fontId="24" fillId="7" borderId="289" applyNumberFormat="0" applyAlignment="0" applyProtection="0"/>
    <xf numFmtId="0" fontId="24" fillId="7" borderId="316" applyNumberFormat="0" applyAlignment="0" applyProtection="0"/>
    <xf numFmtId="170" fontId="10" fillId="0" borderId="309" applyFont="0" applyFill="0" applyBorder="0" applyAlignment="0" applyProtection="0"/>
    <xf numFmtId="0" fontId="34" fillId="20" borderId="316" applyNumberFormat="0" applyAlignment="0" applyProtection="0"/>
    <xf numFmtId="0" fontId="24" fillId="7" borderId="310" applyNumberFormat="0" applyAlignment="0" applyProtection="0"/>
    <xf numFmtId="0" fontId="24" fillId="7" borderId="316" applyNumberFormat="0" applyAlignment="0" applyProtection="0"/>
    <xf numFmtId="0" fontId="50" fillId="23" borderId="290" applyFill="0">
      <alignment horizontal="center" vertical="center" wrapText="1"/>
    </xf>
    <xf numFmtId="0" fontId="10" fillId="26" borderId="298" applyNumberFormat="0" applyFont="0" applyAlignment="0" applyProtection="0"/>
    <xf numFmtId="0" fontId="24" fillId="7" borderId="316" applyNumberFormat="0" applyAlignment="0" applyProtection="0"/>
    <xf numFmtId="0" fontId="24" fillId="7" borderId="289" applyNumberFormat="0" applyAlignment="0" applyProtection="0"/>
    <xf numFmtId="0" fontId="24" fillId="7" borderId="283" applyNumberFormat="0" applyAlignment="0" applyProtection="0"/>
    <xf numFmtId="0" fontId="26" fillId="20" borderId="286" applyNumberFormat="0" applyAlignment="0" applyProtection="0"/>
    <xf numFmtId="0" fontId="28" fillId="26" borderId="285" applyNumberFormat="0" applyAlignment="0" applyProtection="0"/>
    <xf numFmtId="0" fontId="24" fillId="7" borderId="289" applyNumberFormat="0" applyAlignment="0" applyProtection="0"/>
    <xf numFmtId="0" fontId="28" fillId="26" borderId="285" applyNumberFormat="0" applyAlignment="0" applyProtection="0"/>
    <xf numFmtId="0" fontId="26" fillId="20" borderId="286" applyNumberFormat="0" applyAlignment="0" applyProtection="0"/>
    <xf numFmtId="0" fontId="24" fillId="7" borderId="316" applyNumberFormat="0" applyAlignment="0" applyProtection="0"/>
    <xf numFmtId="0" fontId="24" fillId="7" borderId="316" applyNumberFormat="0" applyAlignment="0" applyProtection="0"/>
    <xf numFmtId="0" fontId="24" fillId="7" borderId="283" applyNumberFormat="0" applyAlignment="0" applyProtection="0"/>
    <xf numFmtId="0" fontId="24" fillId="7" borderId="303" applyNumberFormat="0" applyAlignment="0" applyProtection="0"/>
    <xf numFmtId="0" fontId="24" fillId="7" borderId="289" applyNumberFormat="0" applyAlignment="0" applyProtection="0"/>
    <xf numFmtId="0" fontId="24" fillId="7" borderId="316" applyNumberFormat="0" applyAlignment="0" applyProtection="0"/>
    <xf numFmtId="170" fontId="10" fillId="0" borderId="302" applyFont="0" applyFill="0" applyBorder="0" applyAlignment="0" applyProtection="0"/>
    <xf numFmtId="0" fontId="50" fillId="23" borderId="284" applyFill="0">
      <alignment horizontal="center" vertical="center" wrapText="1"/>
    </xf>
    <xf numFmtId="0" fontId="24" fillId="7" borderId="316" applyNumberFormat="0" applyAlignment="0" applyProtection="0"/>
    <xf numFmtId="0" fontId="24" fillId="7" borderId="303" applyNumberFormat="0" applyAlignment="0" applyProtection="0"/>
    <xf numFmtId="0" fontId="24" fillId="7" borderId="296" applyNumberFormat="0" applyAlignment="0" applyProtection="0"/>
    <xf numFmtId="0" fontId="24" fillId="7" borderId="310" applyNumberFormat="0" applyAlignment="0" applyProtection="0"/>
    <xf numFmtId="0" fontId="24" fillId="7" borderId="296" applyNumberFormat="0" applyAlignment="0" applyProtection="0"/>
    <xf numFmtId="0" fontId="24" fillId="7" borderId="296" applyNumberFormat="0" applyAlignment="0" applyProtection="0"/>
    <xf numFmtId="0" fontId="14" fillId="23" borderId="297" applyFill="0">
      <alignment horizontal="center" vertical="center" wrapText="1"/>
    </xf>
    <xf numFmtId="0" fontId="24" fillId="7" borderId="289" applyNumberFormat="0" applyAlignment="0" applyProtection="0"/>
    <xf numFmtId="0" fontId="27" fillId="0" borderId="300" applyNumberFormat="0" applyFill="0" applyAlignment="0" applyProtection="0"/>
    <xf numFmtId="0" fontId="24" fillId="7" borderId="316" applyNumberFormat="0" applyAlignment="0" applyProtection="0"/>
    <xf numFmtId="0" fontId="24" fillId="7" borderId="310" applyNumberFormat="0" applyAlignment="0" applyProtection="0"/>
    <xf numFmtId="0" fontId="24" fillId="7" borderId="303" applyNumberFormat="0" applyAlignment="0" applyProtection="0"/>
    <xf numFmtId="0" fontId="34" fillId="20" borderId="296" applyNumberFormat="0" applyAlignment="0" applyProtection="0"/>
    <xf numFmtId="0" fontId="34" fillId="20" borderId="283" applyNumberFormat="0" applyAlignment="0" applyProtection="0"/>
    <xf numFmtId="0" fontId="24" fillId="7" borderId="316" applyNumberFormat="0" applyAlignment="0" applyProtection="0"/>
    <xf numFmtId="0" fontId="50" fillId="23" borderId="284" applyFill="0">
      <alignment horizontal="center" vertical="center" wrapText="1"/>
    </xf>
    <xf numFmtId="0" fontId="24" fillId="7" borderId="303" applyNumberFormat="0" applyAlignment="0" applyProtection="0"/>
    <xf numFmtId="0" fontId="24" fillId="7" borderId="283" applyNumberFormat="0" applyAlignment="0" applyProtection="0"/>
    <xf numFmtId="0" fontId="34" fillId="20" borderId="283" applyNumberFormat="0" applyAlignment="0" applyProtection="0"/>
    <xf numFmtId="0" fontId="34" fillId="20" borderId="289" applyNumberFormat="0" applyAlignment="0" applyProtection="0"/>
    <xf numFmtId="0" fontId="24" fillId="7" borderId="296" applyNumberFormat="0" applyAlignment="0" applyProtection="0"/>
    <xf numFmtId="0" fontId="50" fillId="23" borderId="297" applyFill="0">
      <alignment horizontal="center" vertical="center" wrapText="1"/>
    </xf>
    <xf numFmtId="0" fontId="24" fillId="7" borderId="316" applyNumberFormat="0" applyAlignment="0" applyProtection="0"/>
    <xf numFmtId="0" fontId="49" fillId="23" borderId="284" applyFill="0">
      <alignment horizontal="center" vertical="center" wrapText="1"/>
    </xf>
    <xf numFmtId="0" fontId="24" fillId="7" borderId="316" applyNumberFormat="0" applyAlignment="0" applyProtection="0"/>
    <xf numFmtId="0" fontId="24" fillId="7" borderId="283" applyNumberFormat="0" applyAlignment="0" applyProtection="0"/>
    <xf numFmtId="170" fontId="10" fillId="0" borderId="288" applyFont="0" applyFill="0" applyBorder="0" applyAlignment="0" applyProtection="0"/>
    <xf numFmtId="0" fontId="24" fillId="7" borderId="283" applyNumberFormat="0" applyAlignment="0" applyProtection="0"/>
    <xf numFmtId="0" fontId="24" fillId="7" borderId="283" applyNumberFormat="0" applyAlignment="0" applyProtection="0"/>
    <xf numFmtId="0" fontId="27" fillId="0" borderId="307" applyNumberFormat="0" applyFill="0" applyAlignment="0" applyProtection="0"/>
    <xf numFmtId="0" fontId="24" fillId="7" borderId="283" applyNumberFormat="0" applyAlignment="0" applyProtection="0"/>
    <xf numFmtId="164" fontId="17" fillId="36" borderId="294">
      <alignment horizontal="center" vertical="center"/>
    </xf>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96" applyNumberFormat="0" applyAlignment="0" applyProtection="0"/>
    <xf numFmtId="0" fontId="26" fillId="20" borderId="319" applyNumberFormat="0" applyAlignment="0" applyProtection="0"/>
    <xf numFmtId="0" fontId="24" fillId="7" borderId="303" applyNumberFormat="0" applyAlignment="0" applyProtection="0"/>
    <xf numFmtId="0" fontId="24" fillId="7" borderId="283" applyNumberFormat="0" applyAlignment="0" applyProtection="0"/>
    <xf numFmtId="0" fontId="24" fillId="7" borderId="296" applyNumberFormat="0" applyAlignment="0" applyProtection="0"/>
    <xf numFmtId="0" fontId="24" fillId="7" borderId="296" applyNumberFormat="0" applyAlignment="0" applyProtection="0"/>
    <xf numFmtId="0" fontId="24" fillId="7" borderId="283" applyNumberFormat="0" applyAlignment="0" applyProtection="0"/>
    <xf numFmtId="0" fontId="24" fillId="7" borderId="316" applyNumberFormat="0" applyAlignment="0" applyProtection="0"/>
    <xf numFmtId="0" fontId="24" fillId="7" borderId="316" applyNumberFormat="0" applyAlignment="0" applyProtection="0"/>
    <xf numFmtId="170" fontId="10" fillId="0" borderId="295" applyFont="0" applyFill="0" applyBorder="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310" applyNumberFormat="0" applyAlignment="0" applyProtection="0"/>
    <xf numFmtId="0" fontId="24" fillId="7" borderId="283" applyNumberFormat="0" applyAlignment="0" applyProtection="0"/>
    <xf numFmtId="0" fontId="24" fillId="7" borderId="296"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283" applyNumberFormat="0" applyAlignment="0" applyProtection="0"/>
    <xf numFmtId="0" fontId="24" fillId="7" borderId="303" applyNumberFormat="0" applyAlignment="0" applyProtection="0"/>
    <xf numFmtId="0" fontId="24" fillId="7" borderId="310" applyNumberFormat="0" applyAlignment="0" applyProtection="0"/>
    <xf numFmtId="0" fontId="24" fillId="7" borderId="303" applyNumberFormat="0" applyAlignment="0" applyProtection="0"/>
    <xf numFmtId="0" fontId="10" fillId="0" borderId="302" applyFont="0" applyFill="0" applyBorder="0" applyAlignment="0" applyProtection="0"/>
    <xf numFmtId="0" fontId="24" fillId="7" borderId="310" applyNumberFormat="0" applyAlignment="0" applyProtection="0"/>
    <xf numFmtId="0" fontId="49" fillId="23" borderId="311" applyFill="0">
      <alignment horizontal="center" vertical="center" wrapText="1"/>
    </xf>
    <xf numFmtId="164" fontId="17" fillId="38" borderId="287">
      <alignment horizontal="left" vertical="center"/>
    </xf>
    <xf numFmtId="0" fontId="24" fillId="7" borderId="303" applyNumberFormat="0" applyAlignment="0" applyProtection="0"/>
    <xf numFmtId="0" fontId="24" fillId="7" borderId="296" applyNumberFormat="0" applyAlignment="0" applyProtection="0"/>
    <xf numFmtId="0" fontId="24" fillId="7" borderId="316" applyNumberFormat="0" applyAlignment="0" applyProtection="0"/>
    <xf numFmtId="0" fontId="34" fillId="20" borderId="296" applyNumberFormat="0" applyAlignment="0" applyProtection="0"/>
    <xf numFmtId="0" fontId="27" fillId="0" borderId="320" applyNumberFormat="0" applyFill="0" applyAlignment="0" applyProtection="0"/>
    <xf numFmtId="0" fontId="24" fillId="7" borderId="310" applyNumberFormat="0" applyAlignment="0" applyProtection="0"/>
    <xf numFmtId="170" fontId="10" fillId="0" borderId="282" applyFont="0" applyFill="0" applyBorder="0" applyAlignment="0" applyProtection="0"/>
    <xf numFmtId="0" fontId="10" fillId="0" borderId="282" applyFont="0" applyFill="0" applyBorder="0" applyAlignment="0" applyProtection="0"/>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0" fontId="28" fillId="26" borderId="318" applyNumberFormat="0" applyAlignment="0" applyProtection="0"/>
    <xf numFmtId="0" fontId="24" fillId="7" borderId="316" applyNumberFormat="0" applyAlignment="0" applyProtection="0"/>
    <xf numFmtId="0" fontId="10" fillId="26" borderId="285" applyNumberFormat="0" applyFont="0" applyAlignment="0" applyProtection="0"/>
    <xf numFmtId="0" fontId="26" fillId="20" borderId="299" applyNumberFormat="0" applyAlignment="0" applyProtection="0"/>
    <xf numFmtId="0" fontId="10" fillId="26" borderId="305" applyNumberFormat="0" applyFont="0" applyAlignment="0" applyProtection="0"/>
    <xf numFmtId="0" fontId="10" fillId="26" borderId="312" applyNumberFormat="0" applyFont="0" applyAlignment="0" applyProtection="0"/>
    <xf numFmtId="0" fontId="24" fillId="7" borderId="296" applyNumberFormat="0" applyAlignment="0" applyProtection="0"/>
    <xf numFmtId="0" fontId="24" fillId="7" borderId="296" applyNumberFormat="0" applyAlignment="0" applyProtection="0"/>
    <xf numFmtId="0" fontId="24" fillId="7" borderId="296" applyNumberFormat="0" applyAlignment="0" applyProtection="0"/>
    <xf numFmtId="0" fontId="24" fillId="7" borderId="316" applyNumberFormat="0" applyAlignment="0" applyProtection="0"/>
    <xf numFmtId="0" fontId="50" fillId="23" borderId="304" applyFill="0">
      <alignment horizontal="center" vertical="center" wrapText="1"/>
    </xf>
    <xf numFmtId="0" fontId="24" fillId="7" borderId="296" applyNumberFormat="0" applyAlignment="0" applyProtection="0"/>
    <xf numFmtId="0" fontId="24" fillId="7" borderId="296" applyNumberFormat="0" applyAlignment="0" applyProtection="0"/>
    <xf numFmtId="0" fontId="24" fillId="7" borderId="316" applyNumberFormat="0" applyAlignment="0" applyProtection="0"/>
    <xf numFmtId="0" fontId="24" fillId="7" borderId="296" applyNumberFormat="0" applyAlignment="0" applyProtection="0"/>
    <xf numFmtId="164" fontId="17" fillId="36" borderId="314">
      <alignment horizontal="center" vertical="center"/>
    </xf>
    <xf numFmtId="0" fontId="24" fillId="7" borderId="296" applyNumberFormat="0" applyAlignment="0" applyProtection="0"/>
    <xf numFmtId="0" fontId="24" fillId="7" borderId="296" applyNumberFormat="0" applyAlignment="0" applyProtection="0"/>
    <xf numFmtId="0" fontId="24" fillId="7" borderId="289" applyNumberFormat="0" applyAlignment="0" applyProtection="0"/>
    <xf numFmtId="0" fontId="24" fillId="7" borderId="289" applyNumberFormat="0" applyAlignment="0" applyProtection="0"/>
    <xf numFmtId="0" fontId="24" fillId="7" borderId="316" applyNumberFormat="0" applyAlignment="0" applyProtection="0"/>
    <xf numFmtId="0" fontId="24" fillId="7" borderId="296" applyNumberFormat="0" applyAlignment="0" applyProtection="0"/>
    <xf numFmtId="0" fontId="26" fillId="20" borderId="306" applyNumberFormat="0" applyAlignment="0" applyProtection="0"/>
    <xf numFmtId="0" fontId="24" fillId="7" borderId="283" applyNumberFormat="0" applyAlignment="0" applyProtection="0"/>
    <xf numFmtId="0" fontId="24" fillId="7" borderId="283" applyNumberFormat="0" applyAlignment="0" applyProtection="0"/>
    <xf numFmtId="0" fontId="24" fillId="7" borderId="310" applyNumberFormat="0" applyAlignment="0" applyProtection="0"/>
    <xf numFmtId="0" fontId="24" fillId="7" borderId="283" applyNumberFormat="0" applyAlignment="0" applyProtection="0"/>
    <xf numFmtId="0" fontId="24" fillId="7" borderId="283" applyNumberFormat="0" applyAlignment="0" applyProtection="0"/>
    <xf numFmtId="0" fontId="24" fillId="7" borderId="316" applyNumberFormat="0" applyAlignment="0" applyProtection="0"/>
    <xf numFmtId="0" fontId="34" fillId="20" borderId="303" applyNumberFormat="0" applyAlignment="0" applyProtection="0"/>
    <xf numFmtId="0" fontId="24" fillId="7" borderId="316" applyNumberFormat="0" applyAlignment="0" applyProtection="0"/>
    <xf numFmtId="0" fontId="24" fillId="7" borderId="316" applyNumberFormat="0" applyAlignment="0" applyProtection="0"/>
    <xf numFmtId="0" fontId="10" fillId="0" borderId="288" applyFont="0" applyFill="0" applyBorder="0" applyAlignment="0" applyProtection="0"/>
    <xf numFmtId="0" fontId="34" fillId="20" borderId="303" applyNumberFormat="0" applyAlignment="0" applyProtection="0"/>
    <xf numFmtId="0" fontId="24" fillId="7" borderId="310" applyNumberFormat="0" applyAlignment="0" applyProtection="0"/>
    <xf numFmtId="0" fontId="24" fillId="7" borderId="303" applyNumberFormat="0" applyAlignment="0" applyProtection="0"/>
    <xf numFmtId="0" fontId="24" fillId="7" borderId="310" applyNumberFormat="0" applyAlignment="0" applyProtection="0"/>
    <xf numFmtId="0" fontId="24" fillId="7" borderId="289" applyNumberFormat="0" applyAlignment="0" applyProtection="0"/>
    <xf numFmtId="0" fontId="24" fillId="7" borderId="303" applyNumberFormat="0" applyAlignment="0" applyProtection="0"/>
    <xf numFmtId="0" fontId="24" fillId="7" borderId="289" applyNumberFormat="0" applyAlignment="0" applyProtection="0"/>
    <xf numFmtId="0" fontId="24" fillId="7" borderId="289" applyNumberFormat="0" applyAlignment="0" applyProtection="0"/>
    <xf numFmtId="0" fontId="24" fillId="7" borderId="289" applyNumberFormat="0" applyAlignment="0" applyProtection="0"/>
    <xf numFmtId="0" fontId="24" fillId="7" borderId="289" applyNumberFormat="0" applyAlignment="0" applyProtection="0"/>
    <xf numFmtId="0" fontId="24" fillId="7" borderId="316" applyNumberFormat="0" applyAlignment="0" applyProtection="0"/>
    <xf numFmtId="0" fontId="26" fillId="20" borderId="313" applyNumberFormat="0" applyAlignment="0" applyProtection="0"/>
    <xf numFmtId="186" fontId="14" fillId="0" borderId="288" applyFont="0" applyFill="0" applyBorder="0" applyAlignment="0" applyProtection="0"/>
    <xf numFmtId="164" fontId="95" fillId="37" borderId="308">
      <alignment horizontal="right" vertical="center"/>
    </xf>
    <xf numFmtId="0" fontId="28" fillId="26" borderId="291" applyNumberFormat="0" applyAlignment="0" applyProtection="0"/>
    <xf numFmtId="0" fontId="34" fillId="20" borderId="289" applyNumberFormat="0" applyAlignment="0" applyProtection="0"/>
    <xf numFmtId="164" fontId="17" fillId="36" borderId="321">
      <alignment horizontal="center" vertical="center"/>
    </xf>
    <xf numFmtId="0" fontId="24" fillId="7" borderId="310" applyNumberFormat="0" applyAlignment="0" applyProtection="0"/>
    <xf numFmtId="0" fontId="34" fillId="20" borderId="303" applyNumberFormat="0" applyAlignment="0" applyProtection="0"/>
    <xf numFmtId="0" fontId="24" fillId="7" borderId="296" applyNumberFormat="0" applyAlignment="0" applyProtection="0"/>
    <xf numFmtId="0" fontId="26" fillId="20" borderId="299" applyNumberFormat="0" applyAlignment="0" applyProtection="0"/>
    <xf numFmtId="0" fontId="24" fillId="7" borderId="289" applyNumberFormat="0" applyAlignment="0" applyProtection="0"/>
    <xf numFmtId="0" fontId="24" fillId="7" borderId="289" applyNumberFormat="0" applyAlignment="0" applyProtection="0"/>
    <xf numFmtId="186" fontId="14" fillId="0" borderId="295" applyFont="0" applyFill="0" applyBorder="0" applyAlignment="0" applyProtection="0"/>
    <xf numFmtId="0" fontId="24" fillId="7" borderId="289" applyNumberFormat="0" applyAlignment="0" applyProtection="0"/>
    <xf numFmtId="0" fontId="24" fillId="7" borderId="289" applyNumberFormat="0" applyAlignment="0" applyProtection="0"/>
    <xf numFmtId="0" fontId="14" fillId="23" borderId="290" applyFill="0">
      <alignment horizontal="center" vertical="center" wrapText="1"/>
    </xf>
    <xf numFmtId="0" fontId="49" fillId="23" borderId="317" applyFill="0">
      <alignment horizontal="center" vertical="center" wrapText="1"/>
    </xf>
    <xf numFmtId="0" fontId="10" fillId="0" borderId="295" applyFont="0" applyFill="0" applyBorder="0" applyAlignment="0" applyProtection="0"/>
    <xf numFmtId="0" fontId="24" fillId="7" borderId="296" applyNumberFormat="0" applyAlignment="0" applyProtection="0"/>
    <xf numFmtId="0" fontId="24" fillId="7" borderId="296" applyNumberFormat="0" applyAlignment="0" applyProtection="0"/>
    <xf numFmtId="0" fontId="50" fillId="23" borderId="311" applyFill="0">
      <alignment horizontal="center" vertical="center" wrapText="1"/>
    </xf>
    <xf numFmtId="0" fontId="24" fillId="7" borderId="296" applyNumberFormat="0" applyAlignment="0" applyProtection="0"/>
    <xf numFmtId="0" fontId="24" fillId="7" borderId="296" applyNumberFormat="0" applyAlignment="0" applyProtection="0"/>
    <xf numFmtId="0" fontId="24" fillId="7" borderId="310" applyNumberFormat="0" applyAlignment="0" applyProtection="0"/>
    <xf numFmtId="0" fontId="49" fillId="23" borderId="297" applyFill="0">
      <alignment horizontal="center" vertical="center" wrapText="1"/>
    </xf>
    <xf numFmtId="0" fontId="24" fillId="7" borderId="310" applyNumberFormat="0" applyAlignment="0" applyProtection="0"/>
    <xf numFmtId="0" fontId="24" fillId="7" borderId="316" applyNumberFormat="0" applyAlignment="0" applyProtection="0"/>
    <xf numFmtId="0" fontId="50" fillId="23" borderId="297" applyFill="0">
      <alignment horizontal="center" vertical="center" wrapText="1"/>
    </xf>
    <xf numFmtId="0" fontId="10" fillId="26" borderId="318" applyNumberFormat="0" applyFont="0" applyAlignment="0" applyProtection="0"/>
    <xf numFmtId="0" fontId="24" fillId="7" borderId="303" applyNumberFormat="0" applyAlignment="0" applyProtection="0"/>
    <xf numFmtId="0" fontId="24" fillId="7" borderId="310" applyNumberFormat="0" applyAlignment="0" applyProtection="0"/>
    <xf numFmtId="0" fontId="26" fillId="20" borderId="299" applyNumberFormat="0" applyAlignment="0" applyProtection="0"/>
    <xf numFmtId="164" fontId="95" fillId="37" borderId="287">
      <alignment horizontal="right" vertical="center"/>
    </xf>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164" fontId="95" fillId="37" borderId="294">
      <alignment horizontal="right" vertical="center"/>
    </xf>
    <xf numFmtId="0" fontId="24" fillId="7" borderId="303" applyNumberFormat="0" applyAlignment="0" applyProtection="0"/>
    <xf numFmtId="0" fontId="24" fillId="7" borderId="310" applyNumberFormat="0" applyAlignment="0" applyProtection="0"/>
    <xf numFmtId="0" fontId="24" fillId="7" borderId="296" applyNumberFormat="0" applyAlignment="0" applyProtection="0"/>
    <xf numFmtId="0" fontId="24" fillId="7" borderId="296" applyNumberFormat="0" applyAlignment="0" applyProtection="0"/>
    <xf numFmtId="0" fontId="34" fillId="20" borderId="316" applyNumberFormat="0" applyAlignment="0" applyProtection="0"/>
    <xf numFmtId="0" fontId="50" fillId="23" borderId="317" applyFill="0">
      <alignment horizontal="center" vertical="center" wrapText="1"/>
    </xf>
    <xf numFmtId="0" fontId="24" fillId="7" borderId="316" applyNumberFormat="0" applyAlignment="0" applyProtection="0"/>
    <xf numFmtId="0" fontId="24" fillId="7" borderId="316" applyNumberFormat="0" applyAlignment="0" applyProtection="0"/>
    <xf numFmtId="0" fontId="24" fillId="7" borderId="303" applyNumberFormat="0" applyAlignment="0" applyProtection="0"/>
    <xf numFmtId="0" fontId="24" fillId="7" borderId="316" applyNumberFormat="0" applyAlignment="0" applyProtection="0"/>
    <xf numFmtId="0" fontId="24" fillId="7" borderId="303" applyNumberFormat="0" applyAlignment="0" applyProtection="0"/>
    <xf numFmtId="0" fontId="24" fillId="7" borderId="303" applyNumberFormat="0" applyAlignment="0" applyProtection="0"/>
    <xf numFmtId="0" fontId="24" fillId="7" borderId="303" applyNumberFormat="0" applyAlignment="0" applyProtection="0"/>
    <xf numFmtId="0" fontId="24" fillId="7" borderId="336" applyNumberFormat="0" applyAlignment="0" applyProtection="0"/>
    <xf numFmtId="0" fontId="34" fillId="20" borderId="310" applyNumberFormat="0" applyAlignment="0" applyProtection="0"/>
    <xf numFmtId="0" fontId="24" fillId="7" borderId="316" applyNumberFormat="0" applyAlignment="0" applyProtection="0"/>
    <xf numFmtId="0" fontId="24" fillId="7" borderId="316" applyNumberFormat="0" applyAlignment="0" applyProtection="0"/>
    <xf numFmtId="164" fontId="17" fillId="38" borderId="314">
      <alignment horizontal="left" vertical="center"/>
    </xf>
    <xf numFmtId="0" fontId="28" fillId="26" borderId="305" applyNumberFormat="0" applyAlignment="0" applyProtection="0"/>
    <xf numFmtId="0" fontId="24" fillId="7" borderId="310" applyNumberFormat="0" applyAlignment="0" applyProtection="0"/>
    <xf numFmtId="0" fontId="24" fillId="7" borderId="316" applyNumberFormat="0" applyAlignment="0" applyProtection="0"/>
    <xf numFmtId="0" fontId="26" fillId="20" borderId="313" applyNumberFormat="0" applyAlignment="0" applyProtection="0"/>
    <xf numFmtId="0" fontId="24" fillId="7" borderId="310" applyNumberFormat="0" applyAlignment="0" applyProtection="0"/>
    <xf numFmtId="0" fontId="28" fillId="26" borderId="318" applyNumberFormat="0" applyAlignment="0" applyProtection="0"/>
    <xf numFmtId="0" fontId="24" fillId="7" borderId="303" applyNumberFormat="0" applyAlignment="0" applyProtection="0"/>
    <xf numFmtId="0" fontId="24" fillId="7" borderId="303" applyNumberFormat="0" applyAlignment="0" applyProtection="0"/>
    <xf numFmtId="0" fontId="26" fillId="20" borderId="319" applyNumberFormat="0" applyAlignment="0" applyProtection="0"/>
    <xf numFmtId="0" fontId="24" fillId="7" borderId="303" applyNumberFormat="0" applyAlignment="0" applyProtection="0"/>
    <xf numFmtId="0" fontId="24" fillId="7" borderId="303" applyNumberFormat="0" applyAlignment="0" applyProtection="0"/>
    <xf numFmtId="0" fontId="34" fillId="20" borderId="316" applyNumberFormat="0" applyAlignment="0" applyProtection="0"/>
    <xf numFmtId="0" fontId="50" fillId="23" borderId="317" applyFill="0">
      <alignment horizontal="center" vertical="center" wrapText="1"/>
    </xf>
    <xf numFmtId="0" fontId="10" fillId="0" borderId="309" applyFont="0" applyFill="0" applyBorder="0" applyAlignment="0" applyProtection="0"/>
    <xf numFmtId="0" fontId="24" fillId="7" borderId="310" applyNumberFormat="0" applyAlignment="0" applyProtection="0"/>
    <xf numFmtId="0" fontId="24" fillId="7" borderId="310" applyNumberFormat="0" applyAlignment="0" applyProtection="0"/>
    <xf numFmtId="0" fontId="24" fillId="7" borderId="316" applyNumberFormat="0" applyAlignment="0" applyProtection="0"/>
    <xf numFmtId="0" fontId="24" fillId="7" borderId="310" applyNumberFormat="0" applyAlignment="0" applyProtection="0"/>
    <xf numFmtId="0" fontId="24" fillId="7" borderId="310" applyNumberFormat="0" applyAlignment="0" applyProtection="0"/>
    <xf numFmtId="186" fontId="14" fillId="0" borderId="309" applyFont="0" applyFill="0" applyBorder="0" applyAlignment="0" applyProtection="0"/>
    <xf numFmtId="0" fontId="24" fillId="7" borderId="316" applyNumberFormat="0" applyAlignment="0" applyProtection="0"/>
    <xf numFmtId="170" fontId="10" fillId="0" borderId="315" applyFont="0" applyFill="0" applyBorder="0" applyAlignment="0" applyProtection="0"/>
    <xf numFmtId="0" fontId="28" fillId="26" borderId="312" applyNumberFormat="0" applyAlignment="0" applyProtection="0"/>
    <xf numFmtId="0" fontId="24" fillId="7" borderId="316" applyNumberFormat="0" applyAlignment="0" applyProtection="0"/>
    <xf numFmtId="0" fontId="24" fillId="7" borderId="316" applyNumberFormat="0" applyAlignment="0" applyProtection="0"/>
    <xf numFmtId="0" fontId="24" fillId="7" borderId="310" applyNumberFormat="0" applyAlignment="0" applyProtection="0"/>
    <xf numFmtId="0" fontId="24" fillId="7" borderId="310" applyNumberFormat="0" applyAlignment="0" applyProtection="0"/>
    <xf numFmtId="0" fontId="24" fillId="7" borderId="310" applyNumberFormat="0" applyAlignment="0" applyProtection="0"/>
    <xf numFmtId="0" fontId="24" fillId="7" borderId="310" applyNumberFormat="0" applyAlignment="0" applyProtection="0"/>
    <xf numFmtId="0" fontId="14" fillId="23" borderId="311" applyFill="0">
      <alignment horizontal="center" vertical="center" wrapText="1"/>
    </xf>
    <xf numFmtId="0" fontId="24" fillId="7" borderId="316" applyNumberFormat="0" applyAlignment="0" applyProtection="0"/>
    <xf numFmtId="0" fontId="24" fillId="7" borderId="316" applyNumberFormat="0" applyAlignment="0" applyProtection="0"/>
    <xf numFmtId="0" fontId="50" fillId="23" borderId="317" applyFill="0">
      <alignment horizontal="center" vertical="center" wrapText="1"/>
    </xf>
    <xf numFmtId="0" fontId="24" fillId="7" borderId="316" applyNumberFormat="0" applyAlignment="0" applyProtection="0"/>
    <xf numFmtId="0" fontId="24" fillId="7" borderId="316" applyNumberFormat="0" applyAlignment="0" applyProtection="0"/>
    <xf numFmtId="0" fontId="26" fillId="20" borderId="319" applyNumberFormat="0" applyAlignment="0" applyProtection="0"/>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0" fontId="14" fillId="23" borderId="317" applyFill="0">
      <alignment horizontal="center" vertical="center" wrapText="1"/>
    </xf>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0" fontId="24" fillId="7" borderId="316" applyNumberFormat="0" applyAlignment="0" applyProtection="0"/>
    <xf numFmtId="0" fontId="49" fillId="23" borderId="317" applyFill="0">
      <alignment horizontal="center" vertical="center" wrapText="1"/>
    </xf>
    <xf numFmtId="0" fontId="50" fillId="23" borderId="317" applyFill="0">
      <alignment horizontal="center" vertical="center" wrapText="1"/>
    </xf>
    <xf numFmtId="164" fontId="95" fillId="37" borderId="314">
      <alignment horizontal="right" vertical="center"/>
    </xf>
    <xf numFmtId="0" fontId="24" fillId="7" borderId="316" applyNumberFormat="0" applyAlignment="0" applyProtection="0"/>
    <xf numFmtId="0" fontId="24" fillId="7" borderId="316"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34" fillId="20" borderId="370" applyNumberFormat="0" applyAlignment="0" applyProtection="0"/>
    <xf numFmtId="0" fontId="24" fillId="7" borderId="383" applyNumberFormat="0" applyAlignment="0" applyProtection="0"/>
    <xf numFmtId="0" fontId="24" fillId="7" borderId="390" applyNumberFormat="0" applyAlignment="0" applyProtection="0"/>
    <xf numFmtId="0" fontId="24" fillId="7" borderId="397" applyNumberFormat="0" applyAlignment="0" applyProtection="0"/>
    <xf numFmtId="0" fontId="27" fillId="0" borderId="387" applyNumberFormat="0" applyFill="0" applyAlignment="0" applyProtection="0"/>
    <xf numFmtId="9" fontId="18" fillId="0" borderId="0" applyFont="0" applyFill="0" applyBorder="0" applyAlignment="0" applyProtection="0"/>
    <xf numFmtId="0" fontId="24" fillId="7" borderId="336" applyNumberFormat="0" applyAlignment="0" applyProtection="0"/>
    <xf numFmtId="0" fontId="24" fillId="7" borderId="336" applyNumberFormat="0" applyAlignment="0" applyProtection="0"/>
    <xf numFmtId="0" fontId="24" fillId="7" borderId="350" applyNumberFormat="0" applyAlignment="0" applyProtection="0"/>
    <xf numFmtId="0" fontId="24" fillId="7" borderId="363" applyNumberFormat="0" applyAlignment="0" applyProtection="0"/>
    <xf numFmtId="0" fontId="24" fillId="7" borderId="336" applyNumberFormat="0" applyAlignment="0" applyProtection="0"/>
    <xf numFmtId="0" fontId="28" fillId="26" borderId="365" applyNumberFormat="0" applyAlignment="0" applyProtection="0"/>
    <xf numFmtId="0" fontId="24" fillId="7" borderId="336" applyNumberFormat="0" applyAlignment="0" applyProtection="0"/>
    <xf numFmtId="0" fontId="24" fillId="7" borderId="343"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57" applyNumberFormat="0" applyAlignment="0" applyProtection="0"/>
    <xf numFmtId="0" fontId="49" fillId="23" borderId="351" applyFill="0">
      <alignment horizontal="center" vertical="center" wrapText="1"/>
    </xf>
    <xf numFmtId="0" fontId="24" fillId="7" borderId="363" applyNumberFormat="0" applyAlignment="0" applyProtection="0"/>
    <xf numFmtId="0" fontId="24" fillId="7" borderId="363" applyNumberFormat="0" applyAlignment="0" applyProtection="0"/>
    <xf numFmtId="0" fontId="24" fillId="7" borderId="336" applyNumberFormat="0" applyAlignment="0" applyProtection="0"/>
    <xf numFmtId="164" fontId="17" fillId="38" borderId="355">
      <alignment horizontal="left" vertical="center"/>
    </xf>
    <xf numFmtId="0" fontId="34" fillId="20" borderId="363" applyNumberFormat="0" applyAlignment="0" applyProtection="0"/>
    <xf numFmtId="0" fontId="28" fillId="26" borderId="338" applyNumberFormat="0" applyAlignment="0" applyProtection="0"/>
    <xf numFmtId="0" fontId="10" fillId="26" borderId="325" applyNumberFormat="0" applyFont="0" applyAlignment="0" applyProtection="0"/>
    <xf numFmtId="0" fontId="24" fillId="7" borderId="357" applyNumberFormat="0" applyAlignment="0" applyProtection="0"/>
    <xf numFmtId="0" fontId="24" fillId="7" borderId="357" applyNumberFormat="0" applyAlignment="0" applyProtection="0"/>
    <xf numFmtId="0" fontId="24" fillId="7" borderId="383" applyNumberFormat="0" applyAlignment="0" applyProtection="0"/>
    <xf numFmtId="186" fontId="14" fillId="0" borderId="349" applyFont="0" applyFill="0" applyBorder="0" applyAlignment="0" applyProtection="0"/>
    <xf numFmtId="0" fontId="24" fillId="7" borderId="343" applyNumberFormat="0" applyAlignment="0" applyProtection="0"/>
    <xf numFmtId="0" fontId="24" fillId="7" borderId="343" applyNumberFormat="0" applyAlignment="0" applyProtection="0"/>
    <xf numFmtId="0" fontId="14" fillId="23" borderId="331" applyFill="0">
      <alignment horizontal="center" vertical="center" wrapText="1"/>
    </xf>
    <xf numFmtId="0" fontId="24" fillId="7" borderId="363" applyNumberFormat="0" applyAlignment="0" applyProtection="0"/>
    <xf numFmtId="0" fontId="24" fillId="7" borderId="363" applyNumberFormat="0" applyAlignment="0" applyProtection="0"/>
    <xf numFmtId="0" fontId="10" fillId="0" borderId="322" applyFont="0" applyFill="0" applyBorder="0" applyAlignment="0" applyProtection="0"/>
    <xf numFmtId="170" fontId="10" fillId="0" borderId="322" applyFont="0" applyFill="0" applyBorder="0" applyAlignment="0" applyProtection="0"/>
    <xf numFmtId="164" fontId="17" fillId="36" borderId="348">
      <alignment horizontal="center" vertical="center"/>
    </xf>
    <xf numFmtId="0" fontId="24" fillId="7" borderId="357" applyNumberFormat="0" applyAlignment="0" applyProtection="0"/>
    <xf numFmtId="164" fontId="17" fillId="38" borderId="328">
      <alignment horizontal="left" vertical="center"/>
    </xf>
    <xf numFmtId="0" fontId="24" fillId="7" borderId="336" applyNumberFormat="0" applyAlignment="0" applyProtection="0"/>
    <xf numFmtId="0" fontId="24" fillId="7" borderId="343" applyNumberFormat="0" applyAlignment="0" applyProtection="0"/>
    <xf numFmtId="0" fontId="24" fillId="7" borderId="343" applyNumberFormat="0" applyAlignment="0" applyProtection="0"/>
    <xf numFmtId="0" fontId="24" fillId="7" borderId="336" applyNumberFormat="0" applyAlignment="0" applyProtection="0"/>
    <xf numFmtId="0" fontId="24" fillId="7" borderId="350" applyNumberFormat="0" applyAlignment="0" applyProtection="0"/>
    <xf numFmtId="0" fontId="24" fillId="7" borderId="350" applyNumberFormat="0" applyAlignment="0" applyProtection="0"/>
    <xf numFmtId="0" fontId="49" fillId="23" borderId="337" applyFill="0">
      <alignment horizontal="center" vertical="center" wrapText="1"/>
    </xf>
    <xf numFmtId="0" fontId="24" fillId="7" borderId="350" applyNumberFormat="0" applyAlignment="0" applyProtection="0"/>
    <xf numFmtId="0" fontId="24" fillId="7" borderId="350" applyNumberFormat="0" applyAlignment="0" applyProtection="0"/>
    <xf numFmtId="164" fontId="17" fillId="36" borderId="334">
      <alignment horizontal="center" vertical="center"/>
    </xf>
    <xf numFmtId="0" fontId="28" fillId="26" borderId="359" applyNumberFormat="0" applyAlignment="0" applyProtection="0"/>
    <xf numFmtId="0" fontId="10" fillId="26" borderId="338" applyNumberFormat="0" applyFont="0" applyAlignment="0" applyProtection="0"/>
    <xf numFmtId="0" fontId="24" fillId="7" borderId="363" applyNumberFormat="0" applyAlignment="0" applyProtection="0"/>
    <xf numFmtId="186" fontId="14" fillId="0" borderId="362" applyFont="0" applyFill="0" applyBorder="0" applyAlignment="0" applyProtection="0"/>
    <xf numFmtId="164" fontId="17" fillId="38" borderId="341">
      <alignment horizontal="left" vertical="center"/>
    </xf>
    <xf numFmtId="0" fontId="50" fillId="23" borderId="351" applyFill="0">
      <alignment horizontal="center" vertical="center" wrapText="1"/>
    </xf>
    <xf numFmtId="0" fontId="26" fillId="20" borderId="366"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50" applyNumberFormat="0" applyAlignment="0" applyProtection="0"/>
    <xf numFmtId="0" fontId="24" fillId="7" borderId="363" applyNumberFormat="0" applyAlignment="0" applyProtection="0"/>
    <xf numFmtId="0" fontId="14" fillId="23" borderId="324" applyFill="0">
      <alignment horizontal="center" vertical="center" wrapText="1"/>
    </xf>
    <xf numFmtId="0" fontId="34" fillId="20" borderId="363" applyNumberFormat="0" applyAlignment="0" applyProtection="0"/>
    <xf numFmtId="0" fontId="26" fillId="20" borderId="353" applyNumberFormat="0" applyAlignment="0" applyProtection="0"/>
    <xf numFmtId="0" fontId="24" fillId="7" borderId="363" applyNumberFormat="0" applyAlignment="0" applyProtection="0"/>
    <xf numFmtId="0" fontId="50" fillId="23" borderId="337" applyFill="0">
      <alignment horizontal="center" vertical="center" wrapText="1"/>
    </xf>
    <xf numFmtId="0" fontId="24" fillId="7" borderId="343" applyNumberFormat="0" applyAlignment="0" applyProtection="0"/>
    <xf numFmtId="0" fontId="24" fillId="7" borderId="363" applyNumberFormat="0" applyAlignment="0" applyProtection="0"/>
    <xf numFmtId="0" fontId="24" fillId="7" borderId="350" applyNumberFormat="0" applyAlignment="0" applyProtection="0"/>
    <xf numFmtId="0" fontId="34" fillId="20" borderId="343" applyNumberFormat="0" applyAlignment="0" applyProtection="0"/>
    <xf numFmtId="0" fontId="24" fillId="7" borderId="357" applyNumberFormat="0" applyAlignment="0" applyProtection="0"/>
    <xf numFmtId="0" fontId="24" fillId="7" borderId="363" applyNumberFormat="0" applyAlignment="0" applyProtection="0"/>
    <xf numFmtId="186" fontId="14" fillId="0" borderId="329" applyFont="0" applyFill="0" applyBorder="0" applyAlignment="0" applyProtection="0"/>
    <xf numFmtId="0" fontId="24" fillId="7" borderId="357" applyNumberFormat="0" applyAlignment="0" applyProtection="0"/>
    <xf numFmtId="0" fontId="24" fillId="7" borderId="350" applyNumberFormat="0" applyAlignment="0" applyProtection="0"/>
    <xf numFmtId="0" fontId="24" fillId="7" borderId="343" applyNumberFormat="0" applyAlignment="0" applyProtection="0"/>
    <xf numFmtId="0" fontId="24" fillId="7" borderId="350" applyNumberFormat="0" applyAlignment="0" applyProtection="0"/>
    <xf numFmtId="0" fontId="24" fillId="7" borderId="350" applyNumberFormat="0" applyAlignment="0" applyProtection="0"/>
    <xf numFmtId="0" fontId="24" fillId="7" borderId="350" applyNumberFormat="0" applyAlignment="0" applyProtection="0"/>
    <xf numFmtId="0" fontId="14" fillId="23" borderId="351" applyFill="0">
      <alignment horizontal="center" vertical="center" wrapText="1"/>
    </xf>
    <xf numFmtId="0" fontId="24" fillId="7" borderId="350" applyNumberFormat="0" applyAlignment="0" applyProtection="0"/>
    <xf numFmtId="0" fontId="28" fillId="26" borderId="365" applyNumberFormat="0" applyAlignment="0" applyProtection="0"/>
    <xf numFmtId="0" fontId="10" fillId="0" borderId="362" applyFont="0" applyFill="0" applyBorder="0" applyAlignment="0" applyProtection="0"/>
    <xf numFmtId="0" fontId="34" fillId="20" borderId="323" applyNumberFormat="0" applyAlignment="0" applyProtection="0"/>
    <xf numFmtId="0" fontId="26" fillId="20" borderId="366" applyNumberFormat="0" applyAlignment="0" applyProtection="0"/>
    <xf numFmtId="0" fontId="34" fillId="20" borderId="336"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23" applyNumberFormat="0" applyAlignment="0" applyProtection="0"/>
    <xf numFmtId="0" fontId="24" fillId="7" borderId="336" applyNumberFormat="0" applyAlignment="0" applyProtection="0"/>
    <xf numFmtId="0" fontId="26" fillId="20" borderId="339" applyNumberFormat="0" applyAlignment="0" applyProtection="0"/>
    <xf numFmtId="0" fontId="26" fillId="20" borderId="326" applyNumberFormat="0" applyAlignment="0" applyProtection="0"/>
    <xf numFmtId="0" fontId="24" fillId="7" borderId="363" applyNumberFormat="0" applyAlignment="0" applyProtection="0"/>
    <xf numFmtId="0" fontId="27" fillId="0" borderId="327" applyNumberFormat="0" applyFill="0" applyAlignment="0" applyProtection="0"/>
    <xf numFmtId="0" fontId="24" fillId="7" borderId="357" applyNumberFormat="0" applyAlignment="0" applyProtection="0"/>
    <xf numFmtId="164" fontId="17" fillId="36" borderId="328">
      <alignment horizontal="center" vertical="center"/>
    </xf>
    <xf numFmtId="0" fontId="24" fillId="7" borderId="336" applyNumberFormat="0" applyAlignment="0" applyProtection="0"/>
    <xf numFmtId="0" fontId="28" fillId="26" borderId="345" applyNumberFormat="0" applyAlignment="0" applyProtection="0"/>
    <xf numFmtId="164" fontId="95" fillId="37" borderId="321">
      <alignment horizontal="right" vertical="center"/>
    </xf>
    <xf numFmtId="164" fontId="17" fillId="36" borderId="355">
      <alignment horizontal="center" vertical="center"/>
    </xf>
    <xf numFmtId="0" fontId="24" fillId="7" borderId="350" applyNumberFormat="0" applyAlignment="0" applyProtection="0"/>
    <xf numFmtId="0" fontId="26" fillId="20" borderId="353" applyNumberFormat="0" applyAlignment="0" applyProtection="0"/>
    <xf numFmtId="0" fontId="26" fillId="20" borderId="339" applyNumberFormat="0" applyAlignment="0" applyProtection="0"/>
    <xf numFmtId="164" fontId="17" fillId="38" borderId="321">
      <alignment horizontal="left" vertical="center"/>
    </xf>
    <xf numFmtId="0" fontId="24" fillId="7" borderId="336" applyNumberFormat="0" applyAlignment="0" applyProtection="0"/>
    <xf numFmtId="0" fontId="24" fillId="7" borderId="363" applyNumberFormat="0" applyAlignment="0" applyProtection="0"/>
    <xf numFmtId="170" fontId="10" fillId="0" borderId="356" applyFont="0" applyFill="0" applyBorder="0" applyAlignment="0" applyProtection="0"/>
    <xf numFmtId="0" fontId="34" fillId="20" borderId="363" applyNumberFormat="0" applyAlignment="0" applyProtection="0"/>
    <xf numFmtId="0" fontId="24" fillId="7" borderId="357" applyNumberFormat="0" applyAlignment="0" applyProtection="0"/>
    <xf numFmtId="0" fontId="24" fillId="7" borderId="363" applyNumberFormat="0" applyAlignment="0" applyProtection="0"/>
    <xf numFmtId="0" fontId="50" fillId="23" borderId="337" applyFill="0">
      <alignment horizontal="center" vertical="center" wrapText="1"/>
    </xf>
    <xf numFmtId="0" fontId="10" fillId="26" borderId="345" applyNumberFormat="0" applyFont="0" applyAlignment="0" applyProtection="0"/>
    <xf numFmtId="0" fontId="24" fillId="7" borderId="363" applyNumberFormat="0" applyAlignment="0" applyProtection="0"/>
    <xf numFmtId="0" fontId="24" fillId="7" borderId="336" applyNumberFormat="0" applyAlignment="0" applyProtection="0"/>
    <xf numFmtId="0" fontId="24" fillId="7" borderId="330" applyNumberFormat="0" applyAlignment="0" applyProtection="0"/>
    <xf numFmtId="0" fontId="26" fillId="20" borderId="333" applyNumberFormat="0" applyAlignment="0" applyProtection="0"/>
    <xf numFmtId="0" fontId="28" fillId="26" borderId="332" applyNumberFormat="0" applyAlignment="0" applyProtection="0"/>
    <xf numFmtId="0" fontId="24" fillId="7" borderId="336" applyNumberFormat="0" applyAlignment="0" applyProtection="0"/>
    <xf numFmtId="0" fontId="28" fillId="26" borderId="332" applyNumberFormat="0" applyAlignment="0" applyProtection="0"/>
    <xf numFmtId="0" fontId="26" fillId="20" borderId="333"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30" applyNumberFormat="0" applyAlignment="0" applyProtection="0"/>
    <xf numFmtId="0" fontId="24" fillId="7" borderId="350" applyNumberFormat="0" applyAlignment="0" applyProtection="0"/>
    <xf numFmtId="0" fontId="24" fillId="7" borderId="336" applyNumberFormat="0" applyAlignment="0" applyProtection="0"/>
    <xf numFmtId="0" fontId="24" fillId="7" borderId="363" applyNumberFormat="0" applyAlignment="0" applyProtection="0"/>
    <xf numFmtId="170" fontId="10" fillId="0" borderId="349" applyFont="0" applyFill="0" applyBorder="0" applyAlignment="0" applyProtection="0"/>
    <xf numFmtId="0" fontId="50" fillId="23" borderId="331" applyFill="0">
      <alignment horizontal="center" vertical="center" wrapText="1"/>
    </xf>
    <xf numFmtId="0" fontId="24" fillId="7" borderId="363" applyNumberFormat="0" applyAlignment="0" applyProtection="0"/>
    <xf numFmtId="0" fontId="24" fillId="7" borderId="350" applyNumberFormat="0" applyAlignment="0" applyProtection="0"/>
    <xf numFmtId="0" fontId="24" fillId="7" borderId="343" applyNumberFormat="0" applyAlignment="0" applyProtection="0"/>
    <xf numFmtId="0" fontId="24" fillId="7" borderId="357" applyNumberFormat="0" applyAlignment="0" applyProtection="0"/>
    <xf numFmtId="0" fontId="24" fillId="7" borderId="343" applyNumberFormat="0" applyAlignment="0" applyProtection="0"/>
    <xf numFmtId="0" fontId="24" fillId="7" borderId="343" applyNumberFormat="0" applyAlignment="0" applyProtection="0"/>
    <xf numFmtId="0" fontId="14" fillId="23" borderId="344" applyFill="0">
      <alignment horizontal="center" vertical="center" wrapText="1"/>
    </xf>
    <xf numFmtId="0" fontId="24" fillId="7" borderId="336" applyNumberFormat="0" applyAlignment="0" applyProtection="0"/>
    <xf numFmtId="0" fontId="27" fillId="0" borderId="347" applyNumberFormat="0" applyFill="0" applyAlignment="0" applyProtection="0"/>
    <xf numFmtId="0" fontId="24" fillId="7" borderId="363" applyNumberFormat="0" applyAlignment="0" applyProtection="0"/>
    <xf numFmtId="0" fontId="24" fillId="7" borderId="357" applyNumberFormat="0" applyAlignment="0" applyProtection="0"/>
    <xf numFmtId="0" fontId="24" fillId="7" borderId="350" applyNumberFormat="0" applyAlignment="0" applyProtection="0"/>
    <xf numFmtId="0" fontId="34" fillId="20" borderId="343" applyNumberFormat="0" applyAlignment="0" applyProtection="0"/>
    <xf numFmtId="0" fontId="34" fillId="20" borderId="330" applyNumberFormat="0" applyAlignment="0" applyProtection="0"/>
    <xf numFmtId="0" fontId="24" fillId="7" borderId="363" applyNumberFormat="0" applyAlignment="0" applyProtection="0"/>
    <xf numFmtId="0" fontId="50" fillId="23" borderId="331" applyFill="0">
      <alignment horizontal="center" vertical="center" wrapText="1"/>
    </xf>
    <xf numFmtId="0" fontId="24" fillId="7" borderId="350" applyNumberFormat="0" applyAlignment="0" applyProtection="0"/>
    <xf numFmtId="0" fontId="24" fillId="7" borderId="330" applyNumberFormat="0" applyAlignment="0" applyProtection="0"/>
    <xf numFmtId="0" fontId="34" fillId="20" borderId="330" applyNumberFormat="0" applyAlignment="0" applyProtection="0"/>
    <xf numFmtId="0" fontId="34" fillId="20" borderId="336" applyNumberFormat="0" applyAlignment="0" applyProtection="0"/>
    <xf numFmtId="0" fontId="24" fillId="7" borderId="343" applyNumberFormat="0" applyAlignment="0" applyProtection="0"/>
    <xf numFmtId="0" fontId="50" fillId="23" borderId="344" applyFill="0">
      <alignment horizontal="center" vertical="center" wrapText="1"/>
    </xf>
    <xf numFmtId="0" fontId="24" fillId="7" borderId="363" applyNumberFormat="0" applyAlignment="0" applyProtection="0"/>
    <xf numFmtId="0" fontId="49" fillId="23" borderId="331" applyFill="0">
      <alignment horizontal="center" vertical="center" wrapText="1"/>
    </xf>
    <xf numFmtId="0" fontId="24" fillId="7" borderId="363" applyNumberFormat="0" applyAlignment="0" applyProtection="0"/>
    <xf numFmtId="0" fontId="24" fillId="7" borderId="330" applyNumberFormat="0" applyAlignment="0" applyProtection="0"/>
    <xf numFmtId="170" fontId="10" fillId="0" borderId="335" applyFont="0" applyFill="0" applyBorder="0" applyAlignment="0" applyProtection="0"/>
    <xf numFmtId="0" fontId="24" fillId="7" borderId="330" applyNumberFormat="0" applyAlignment="0" applyProtection="0"/>
    <xf numFmtId="0" fontId="24" fillId="7" borderId="330" applyNumberFormat="0" applyAlignment="0" applyProtection="0"/>
    <xf numFmtId="0" fontId="27" fillId="0" borderId="354" applyNumberFormat="0" applyFill="0" applyAlignment="0" applyProtection="0"/>
    <xf numFmtId="0" fontId="24" fillId="7" borderId="330" applyNumberFormat="0" applyAlignment="0" applyProtection="0"/>
    <xf numFmtId="164" fontId="17" fillId="36" borderId="341">
      <alignment horizontal="center" vertical="center"/>
    </xf>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43" applyNumberFormat="0" applyAlignment="0" applyProtection="0"/>
    <xf numFmtId="0" fontId="26" fillId="20" borderId="366" applyNumberFormat="0" applyAlignment="0" applyProtection="0"/>
    <xf numFmtId="0" fontId="24" fillId="7" borderId="350" applyNumberFormat="0" applyAlignment="0" applyProtection="0"/>
    <xf numFmtId="0" fontId="24" fillId="7" borderId="330" applyNumberFormat="0" applyAlignment="0" applyProtection="0"/>
    <xf numFmtId="0" fontId="24" fillId="7" borderId="343" applyNumberFormat="0" applyAlignment="0" applyProtection="0"/>
    <xf numFmtId="0" fontId="24" fillId="7" borderId="343" applyNumberFormat="0" applyAlignment="0" applyProtection="0"/>
    <xf numFmtId="0" fontId="24" fillId="7" borderId="330" applyNumberFormat="0" applyAlignment="0" applyProtection="0"/>
    <xf numFmtId="0" fontId="24" fillId="7" borderId="363" applyNumberFormat="0" applyAlignment="0" applyProtection="0"/>
    <xf numFmtId="0" fontId="24" fillId="7" borderId="363" applyNumberFormat="0" applyAlignment="0" applyProtection="0"/>
    <xf numFmtId="170" fontId="10" fillId="0" borderId="342" applyFont="0" applyFill="0" applyBorder="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57" applyNumberFormat="0" applyAlignment="0" applyProtection="0"/>
    <xf numFmtId="0" fontId="24" fillId="7" borderId="330" applyNumberFormat="0" applyAlignment="0" applyProtection="0"/>
    <xf numFmtId="0" fontId="24" fillId="7" borderId="343"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50" applyNumberFormat="0" applyAlignment="0" applyProtection="0"/>
    <xf numFmtId="0" fontId="24" fillId="7" borderId="357" applyNumberFormat="0" applyAlignment="0" applyProtection="0"/>
    <xf numFmtId="0" fontId="24" fillId="7" borderId="350" applyNumberFormat="0" applyAlignment="0" applyProtection="0"/>
    <xf numFmtId="0" fontId="10" fillId="0" borderId="349" applyFont="0" applyFill="0" applyBorder="0" applyAlignment="0" applyProtection="0"/>
    <xf numFmtId="0" fontId="24" fillId="7" borderId="357" applyNumberFormat="0" applyAlignment="0" applyProtection="0"/>
    <xf numFmtId="0" fontId="49" fillId="23" borderId="358" applyFill="0">
      <alignment horizontal="center" vertical="center" wrapText="1"/>
    </xf>
    <xf numFmtId="164" fontId="17" fillId="38" borderId="334">
      <alignment horizontal="left" vertical="center"/>
    </xf>
    <xf numFmtId="0" fontId="24" fillId="7" borderId="350" applyNumberFormat="0" applyAlignment="0" applyProtection="0"/>
    <xf numFmtId="0" fontId="24" fillId="7" borderId="343" applyNumberFormat="0" applyAlignment="0" applyProtection="0"/>
    <xf numFmtId="0" fontId="24" fillId="7" borderId="363" applyNumberFormat="0" applyAlignment="0" applyProtection="0"/>
    <xf numFmtId="0" fontId="34" fillId="20" borderId="343" applyNumberFormat="0" applyAlignment="0" applyProtection="0"/>
    <xf numFmtId="0" fontId="27" fillId="0" borderId="367" applyNumberFormat="0" applyFill="0" applyAlignment="0" applyProtection="0"/>
    <xf numFmtId="0" fontId="24" fillId="7" borderId="357" applyNumberFormat="0" applyAlignment="0" applyProtection="0"/>
    <xf numFmtId="170" fontId="10" fillId="0" borderId="329" applyFont="0" applyFill="0" applyBorder="0" applyAlignment="0" applyProtection="0"/>
    <xf numFmtId="0" fontId="10" fillId="0" borderId="329" applyFont="0" applyFill="0" applyBorder="0" applyAlignment="0" applyProtection="0"/>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0" fontId="28" fillId="26" borderId="365" applyNumberFormat="0" applyAlignment="0" applyProtection="0"/>
    <xf numFmtId="0" fontId="24" fillId="7" borderId="363" applyNumberFormat="0" applyAlignment="0" applyProtection="0"/>
    <xf numFmtId="0" fontId="10" fillId="26" borderId="332" applyNumberFormat="0" applyFont="0" applyAlignment="0" applyProtection="0"/>
    <xf numFmtId="0" fontId="26" fillId="20" borderId="346" applyNumberFormat="0" applyAlignment="0" applyProtection="0"/>
    <xf numFmtId="0" fontId="10" fillId="26" borderId="352" applyNumberFormat="0" applyFont="0" applyAlignment="0" applyProtection="0"/>
    <xf numFmtId="0" fontId="10" fillId="26" borderId="359" applyNumberFormat="0" applyFont="0" applyAlignment="0" applyProtection="0"/>
    <xf numFmtId="0" fontId="24" fillId="7" borderId="343" applyNumberFormat="0" applyAlignment="0" applyProtection="0"/>
    <xf numFmtId="0" fontId="24" fillId="7" borderId="343" applyNumberFormat="0" applyAlignment="0" applyProtection="0"/>
    <xf numFmtId="0" fontId="24" fillId="7" borderId="343" applyNumberFormat="0" applyAlignment="0" applyProtection="0"/>
    <xf numFmtId="0" fontId="24" fillId="7" borderId="363" applyNumberFormat="0" applyAlignment="0" applyProtection="0"/>
    <xf numFmtId="0" fontId="50" fillId="23" borderId="351" applyFill="0">
      <alignment horizontal="center" vertical="center" wrapText="1"/>
    </xf>
    <xf numFmtId="0" fontId="24" fillId="7" borderId="343" applyNumberFormat="0" applyAlignment="0" applyProtection="0"/>
    <xf numFmtId="0" fontId="24" fillId="7" borderId="343" applyNumberFormat="0" applyAlignment="0" applyProtection="0"/>
    <xf numFmtId="0" fontId="24" fillId="7" borderId="363" applyNumberFormat="0" applyAlignment="0" applyProtection="0"/>
    <xf numFmtId="0" fontId="24" fillId="7" borderId="343" applyNumberFormat="0" applyAlignment="0" applyProtection="0"/>
    <xf numFmtId="164" fontId="17" fillId="36" borderId="361">
      <alignment horizontal="center" vertical="center"/>
    </xf>
    <xf numFmtId="0" fontId="24" fillId="7" borderId="343" applyNumberFormat="0" applyAlignment="0" applyProtection="0"/>
    <xf numFmtId="0" fontId="24" fillId="7" borderId="343"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63" applyNumberFormat="0" applyAlignment="0" applyProtection="0"/>
    <xf numFmtId="0" fontId="24" fillId="7" borderId="343" applyNumberFormat="0" applyAlignment="0" applyProtection="0"/>
    <xf numFmtId="0" fontId="26" fillId="20" borderId="353"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57" applyNumberFormat="0" applyAlignment="0" applyProtection="0"/>
    <xf numFmtId="0" fontId="24" fillId="7" borderId="330" applyNumberFormat="0" applyAlignment="0" applyProtection="0"/>
    <xf numFmtId="0" fontId="24" fillId="7" borderId="330" applyNumberFormat="0" applyAlignment="0" applyProtection="0"/>
    <xf numFmtId="0" fontId="24" fillId="7" borderId="363" applyNumberFormat="0" applyAlignment="0" applyProtection="0"/>
    <xf numFmtId="0" fontId="34" fillId="20" borderId="350" applyNumberFormat="0" applyAlignment="0" applyProtection="0"/>
    <xf numFmtId="0" fontId="24" fillId="7" borderId="363" applyNumberFormat="0" applyAlignment="0" applyProtection="0"/>
    <xf numFmtId="0" fontId="24" fillId="7" borderId="363" applyNumberFormat="0" applyAlignment="0" applyProtection="0"/>
    <xf numFmtId="0" fontId="10" fillId="0" borderId="335" applyFont="0" applyFill="0" applyBorder="0" applyAlignment="0" applyProtection="0"/>
    <xf numFmtId="0" fontId="34" fillId="20" borderId="350" applyNumberFormat="0" applyAlignment="0" applyProtection="0"/>
    <xf numFmtId="0" fontId="24" fillId="7" borderId="357" applyNumberFormat="0" applyAlignment="0" applyProtection="0"/>
    <xf numFmtId="0" fontId="24" fillId="7" borderId="350" applyNumberFormat="0" applyAlignment="0" applyProtection="0"/>
    <xf numFmtId="0" fontId="24" fillId="7" borderId="357" applyNumberFormat="0" applyAlignment="0" applyProtection="0"/>
    <xf numFmtId="0" fontId="24" fillId="7" borderId="336" applyNumberFormat="0" applyAlignment="0" applyProtection="0"/>
    <xf numFmtId="0" fontId="24" fillId="7" borderId="350"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36" applyNumberFormat="0" applyAlignment="0" applyProtection="0"/>
    <xf numFmtId="0" fontId="24" fillId="7" borderId="363" applyNumberFormat="0" applyAlignment="0" applyProtection="0"/>
    <xf numFmtId="0" fontId="26" fillId="20" borderId="360" applyNumberFormat="0" applyAlignment="0" applyProtection="0"/>
    <xf numFmtId="186" fontId="14" fillId="0" borderId="335" applyFont="0" applyFill="0" applyBorder="0" applyAlignment="0" applyProtection="0"/>
    <xf numFmtId="164" fontId="95" fillId="37" borderId="355">
      <alignment horizontal="right" vertical="center"/>
    </xf>
    <xf numFmtId="0" fontId="28" fillId="26" borderId="338" applyNumberFormat="0" applyAlignment="0" applyProtection="0"/>
    <xf numFmtId="0" fontId="34" fillId="20" borderId="336" applyNumberFormat="0" applyAlignment="0" applyProtection="0"/>
    <xf numFmtId="164" fontId="17" fillId="36" borderId="368">
      <alignment horizontal="center" vertical="center"/>
    </xf>
    <xf numFmtId="0" fontId="24" fillId="7" borderId="357" applyNumberFormat="0" applyAlignment="0" applyProtection="0"/>
    <xf numFmtId="0" fontId="34" fillId="20" borderId="350" applyNumberFormat="0" applyAlignment="0" applyProtection="0"/>
    <xf numFmtId="0" fontId="24" fillId="7" borderId="343" applyNumberFormat="0" applyAlignment="0" applyProtection="0"/>
    <xf numFmtId="0" fontId="26" fillId="20" borderId="346" applyNumberFormat="0" applyAlignment="0" applyProtection="0"/>
    <xf numFmtId="0" fontId="24" fillId="7" borderId="336" applyNumberFormat="0" applyAlignment="0" applyProtection="0"/>
    <xf numFmtId="0" fontId="24" fillId="7" borderId="336" applyNumberFormat="0" applyAlignment="0" applyProtection="0"/>
    <xf numFmtId="186" fontId="14" fillId="0" borderId="342" applyFont="0" applyFill="0" applyBorder="0" applyAlignment="0" applyProtection="0"/>
    <xf numFmtId="0" fontId="24" fillId="7" borderId="336" applyNumberFormat="0" applyAlignment="0" applyProtection="0"/>
    <xf numFmtId="0" fontId="24" fillId="7" borderId="336" applyNumberFormat="0" applyAlignment="0" applyProtection="0"/>
    <xf numFmtId="0" fontId="14" fillId="23" borderId="337" applyFill="0">
      <alignment horizontal="center" vertical="center" wrapText="1"/>
    </xf>
    <xf numFmtId="0" fontId="49" fillId="23" borderId="364" applyFill="0">
      <alignment horizontal="center" vertical="center" wrapText="1"/>
    </xf>
    <xf numFmtId="0" fontId="10" fillId="0" borderId="342" applyFont="0" applyFill="0" applyBorder="0" applyAlignment="0" applyProtection="0"/>
    <xf numFmtId="0" fontId="24" fillId="7" borderId="343" applyNumberFormat="0" applyAlignment="0" applyProtection="0"/>
    <xf numFmtId="0" fontId="24" fillId="7" borderId="343" applyNumberFormat="0" applyAlignment="0" applyProtection="0"/>
    <xf numFmtId="0" fontId="50" fillId="23" borderId="358" applyFill="0">
      <alignment horizontal="center" vertical="center" wrapText="1"/>
    </xf>
    <xf numFmtId="0" fontId="24" fillId="7" borderId="343" applyNumberFormat="0" applyAlignment="0" applyProtection="0"/>
    <xf numFmtId="0" fontId="24" fillId="7" borderId="343" applyNumberFormat="0" applyAlignment="0" applyProtection="0"/>
    <xf numFmtId="0" fontId="24" fillId="7" borderId="357" applyNumberFormat="0" applyAlignment="0" applyProtection="0"/>
    <xf numFmtId="0" fontId="49" fillId="23" borderId="344" applyFill="0">
      <alignment horizontal="center" vertical="center" wrapText="1"/>
    </xf>
    <xf numFmtId="0" fontId="24" fillId="7" borderId="357" applyNumberFormat="0" applyAlignment="0" applyProtection="0"/>
    <xf numFmtId="0" fontId="24" fillId="7" borderId="363" applyNumberFormat="0" applyAlignment="0" applyProtection="0"/>
    <xf numFmtId="0" fontId="50" fillId="23" borderId="344" applyFill="0">
      <alignment horizontal="center" vertical="center" wrapText="1"/>
    </xf>
    <xf numFmtId="0" fontId="10" fillId="26" borderId="365" applyNumberFormat="0" applyFont="0" applyAlignment="0" applyProtection="0"/>
    <xf numFmtId="0" fontId="24" fillId="7" borderId="350" applyNumberFormat="0" applyAlignment="0" applyProtection="0"/>
    <xf numFmtId="0" fontId="24" fillId="7" borderId="357" applyNumberFormat="0" applyAlignment="0" applyProtection="0"/>
    <xf numFmtId="0" fontId="26" fillId="20" borderId="346" applyNumberFormat="0" applyAlignment="0" applyProtection="0"/>
    <xf numFmtId="164" fontId="95" fillId="37" borderId="334">
      <alignment horizontal="right" vertical="center"/>
    </xf>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164" fontId="95" fillId="37" borderId="341">
      <alignment horizontal="right" vertical="center"/>
    </xf>
    <xf numFmtId="0" fontId="24" fillId="7" borderId="350" applyNumberFormat="0" applyAlignment="0" applyProtection="0"/>
    <xf numFmtId="0" fontId="24" fillId="7" borderId="357" applyNumberFormat="0" applyAlignment="0" applyProtection="0"/>
    <xf numFmtId="0" fontId="24" fillId="7" borderId="343" applyNumberFormat="0" applyAlignment="0" applyProtection="0"/>
    <xf numFmtId="0" fontId="24" fillId="7" borderId="343" applyNumberFormat="0" applyAlignment="0" applyProtection="0"/>
    <xf numFmtId="0" fontId="34" fillId="20" borderId="363" applyNumberFormat="0" applyAlignment="0" applyProtection="0"/>
    <xf numFmtId="0" fontId="50" fillId="23" borderId="364" applyFill="0">
      <alignment horizontal="center" vertical="center" wrapText="1"/>
    </xf>
    <xf numFmtId="0" fontId="24" fillId="7" borderId="363" applyNumberFormat="0" applyAlignment="0" applyProtection="0"/>
    <xf numFmtId="0" fontId="24" fillId="7" borderId="363" applyNumberFormat="0" applyAlignment="0" applyProtection="0"/>
    <xf numFmtId="0" fontId="24" fillId="7" borderId="350" applyNumberFormat="0" applyAlignment="0" applyProtection="0"/>
    <xf numFmtId="0" fontId="24" fillId="7" borderId="363" applyNumberFormat="0" applyAlignment="0" applyProtection="0"/>
    <xf numFmtId="0" fontId="24" fillId="7" borderId="350" applyNumberFormat="0" applyAlignment="0" applyProtection="0"/>
    <xf numFmtId="0" fontId="24" fillId="7" borderId="350" applyNumberFormat="0" applyAlignment="0" applyProtection="0"/>
    <xf numFmtId="0" fontId="24" fillId="7" borderId="350" applyNumberFormat="0" applyAlignment="0" applyProtection="0"/>
    <xf numFmtId="0" fontId="28" fillId="26" borderId="399" applyNumberFormat="0" applyAlignment="0" applyProtection="0"/>
    <xf numFmtId="0" fontId="34" fillId="20" borderId="357" applyNumberFormat="0" applyAlignment="0" applyProtection="0"/>
    <xf numFmtId="0" fontId="24" fillId="7" borderId="363" applyNumberFormat="0" applyAlignment="0" applyProtection="0"/>
    <xf numFmtId="0" fontId="24" fillId="7" borderId="363" applyNumberFormat="0" applyAlignment="0" applyProtection="0"/>
    <xf numFmtId="164" fontId="17" fillId="38" borderId="361">
      <alignment horizontal="left" vertical="center"/>
    </xf>
    <xf numFmtId="0" fontId="28" fillId="26" borderId="352" applyNumberFormat="0" applyAlignment="0" applyProtection="0"/>
    <xf numFmtId="0" fontId="24" fillId="7" borderId="357" applyNumberFormat="0" applyAlignment="0" applyProtection="0"/>
    <xf numFmtId="0" fontId="24" fillId="7" borderId="363" applyNumberFormat="0" applyAlignment="0" applyProtection="0"/>
    <xf numFmtId="0" fontId="26" fillId="20" borderId="360" applyNumberFormat="0" applyAlignment="0" applyProtection="0"/>
    <xf numFmtId="0" fontId="24" fillId="7" borderId="357" applyNumberFormat="0" applyAlignment="0" applyProtection="0"/>
    <xf numFmtId="0" fontId="28" fillId="26" borderId="365" applyNumberFormat="0" applyAlignment="0" applyProtection="0"/>
    <xf numFmtId="0" fontId="24" fillId="7" borderId="350" applyNumberFormat="0" applyAlignment="0" applyProtection="0"/>
    <xf numFmtId="0" fontId="24" fillId="7" borderId="350" applyNumberFormat="0" applyAlignment="0" applyProtection="0"/>
    <xf numFmtId="0" fontId="26" fillId="20" borderId="366" applyNumberFormat="0" applyAlignment="0" applyProtection="0"/>
    <xf numFmtId="0" fontId="24" fillId="7" borderId="350" applyNumberFormat="0" applyAlignment="0" applyProtection="0"/>
    <xf numFmtId="0" fontId="24" fillId="7" borderId="350" applyNumberFormat="0" applyAlignment="0" applyProtection="0"/>
    <xf numFmtId="0" fontId="34" fillId="20" borderId="363" applyNumberFormat="0" applyAlignment="0" applyProtection="0"/>
    <xf numFmtId="0" fontId="50" fillId="23" borderId="364" applyFill="0">
      <alignment horizontal="center" vertical="center" wrapText="1"/>
    </xf>
    <xf numFmtId="0" fontId="10" fillId="0" borderId="356" applyFont="0" applyFill="0" applyBorder="0" applyAlignment="0" applyProtection="0"/>
    <xf numFmtId="0" fontId="24" fillId="7" borderId="357" applyNumberFormat="0" applyAlignment="0" applyProtection="0"/>
    <xf numFmtId="0" fontId="24" fillId="7" borderId="357" applyNumberFormat="0" applyAlignment="0" applyProtection="0"/>
    <xf numFmtId="0" fontId="24" fillId="7" borderId="363" applyNumberFormat="0" applyAlignment="0" applyProtection="0"/>
    <xf numFmtId="0" fontId="24" fillId="7" borderId="357" applyNumberFormat="0" applyAlignment="0" applyProtection="0"/>
    <xf numFmtId="0" fontId="24" fillId="7" borderId="357" applyNumberFormat="0" applyAlignment="0" applyProtection="0"/>
    <xf numFmtId="186" fontId="14" fillId="0" borderId="356" applyFont="0" applyFill="0" applyBorder="0" applyAlignment="0" applyProtection="0"/>
    <xf numFmtId="0" fontId="24" fillId="7" borderId="363" applyNumberFormat="0" applyAlignment="0" applyProtection="0"/>
    <xf numFmtId="170" fontId="10" fillId="0" borderId="362" applyFont="0" applyFill="0" applyBorder="0" applyAlignment="0" applyProtection="0"/>
    <xf numFmtId="0" fontId="28" fillId="26" borderId="359"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57" applyNumberFormat="0" applyAlignment="0" applyProtection="0"/>
    <xf numFmtId="0" fontId="24" fillId="7" borderId="357" applyNumberFormat="0" applyAlignment="0" applyProtection="0"/>
    <xf numFmtId="0" fontId="24" fillId="7" borderId="357" applyNumberFormat="0" applyAlignment="0" applyProtection="0"/>
    <xf numFmtId="0" fontId="24" fillId="7" borderId="357" applyNumberFormat="0" applyAlignment="0" applyProtection="0"/>
    <xf numFmtId="0" fontId="14" fillId="23" borderId="358" applyFill="0">
      <alignment horizontal="center" vertical="center" wrapText="1"/>
    </xf>
    <xf numFmtId="0" fontId="24" fillId="7" borderId="363" applyNumberFormat="0" applyAlignment="0" applyProtection="0"/>
    <xf numFmtId="0" fontId="24" fillId="7" borderId="363" applyNumberFormat="0" applyAlignment="0" applyProtection="0"/>
    <xf numFmtId="0" fontId="50" fillId="23" borderId="364" applyFill="0">
      <alignment horizontal="center" vertical="center" wrapText="1"/>
    </xf>
    <xf numFmtId="0" fontId="24" fillId="7" borderId="363" applyNumberFormat="0" applyAlignment="0" applyProtection="0"/>
    <xf numFmtId="0" fontId="24" fillId="7" borderId="363" applyNumberFormat="0" applyAlignment="0" applyProtection="0"/>
    <xf numFmtId="0" fontId="26" fillId="20" borderId="366"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0" fontId="14" fillId="23" borderId="364" applyFill="0">
      <alignment horizontal="center" vertical="center" wrapText="1"/>
    </xf>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0" fontId="24" fillId="7" borderId="363" applyNumberFormat="0" applyAlignment="0" applyProtection="0"/>
    <xf numFmtId="0" fontId="49" fillId="23" borderId="364" applyFill="0">
      <alignment horizontal="center" vertical="center" wrapText="1"/>
    </xf>
    <xf numFmtId="0" fontId="50" fillId="23" borderId="364" applyFill="0">
      <alignment horizontal="center" vertical="center" wrapText="1"/>
    </xf>
    <xf numFmtId="164" fontId="95" fillId="37" borderId="361">
      <alignment horizontal="right" vertical="center"/>
    </xf>
    <xf numFmtId="0" fontId="24" fillId="7" borderId="363" applyNumberFormat="0" applyAlignment="0" applyProtection="0"/>
    <xf numFmtId="0" fontId="24" fillId="7" borderId="363"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83" applyNumberFormat="0" applyAlignment="0" applyProtection="0"/>
    <xf numFmtId="0" fontId="24" fillId="7" borderId="383" applyNumberFormat="0" applyAlignment="0" applyProtection="0"/>
    <xf numFmtId="0" fontId="24" fillId="7" borderId="397" applyNumberFormat="0" applyAlignment="0" applyProtection="0"/>
    <xf numFmtId="0" fontId="24" fillId="7" borderId="410" applyNumberFormat="0" applyAlignment="0" applyProtection="0"/>
    <xf numFmtId="0" fontId="24" fillId="7" borderId="383" applyNumberFormat="0" applyAlignment="0" applyProtection="0"/>
    <xf numFmtId="0" fontId="28" fillId="26" borderId="412" applyNumberFormat="0" applyAlignment="0" applyProtection="0"/>
    <xf numFmtId="0" fontId="24" fillId="7" borderId="383" applyNumberFormat="0" applyAlignment="0" applyProtection="0"/>
    <xf numFmtId="0" fontId="24" fillId="7" borderId="390" applyNumberFormat="0" applyAlignment="0" applyProtection="0"/>
    <xf numFmtId="0" fontId="24" fillId="7" borderId="383" applyNumberFormat="0" applyAlignment="0" applyProtection="0"/>
    <xf numFmtId="0" fontId="24" fillId="7" borderId="383" applyNumberFormat="0" applyAlignment="0" applyProtection="0"/>
    <xf numFmtId="0" fontId="24" fillId="7" borderId="404" applyNumberFormat="0" applyAlignment="0" applyProtection="0"/>
    <xf numFmtId="0" fontId="49" fillId="23" borderId="398" applyFill="0">
      <alignment horizontal="center" vertical="center" wrapText="1"/>
    </xf>
    <xf numFmtId="0" fontId="24" fillId="7" borderId="410" applyNumberFormat="0" applyAlignment="0" applyProtection="0"/>
    <xf numFmtId="0" fontId="24" fillId="7" borderId="410" applyNumberFormat="0" applyAlignment="0" applyProtection="0"/>
    <xf numFmtId="0" fontId="24" fillId="7" borderId="383" applyNumberFormat="0" applyAlignment="0" applyProtection="0"/>
    <xf numFmtId="164" fontId="17" fillId="38" borderId="402">
      <alignment horizontal="left" vertical="center"/>
    </xf>
    <xf numFmtId="0" fontId="34" fillId="20" borderId="410" applyNumberFormat="0" applyAlignment="0" applyProtection="0"/>
    <xf numFmtId="0" fontId="28" fillId="26" borderId="385" applyNumberFormat="0" applyAlignment="0" applyProtection="0"/>
    <xf numFmtId="0" fontId="10" fillId="26" borderId="372" applyNumberFormat="0" applyFont="0" applyAlignment="0" applyProtection="0"/>
    <xf numFmtId="0" fontId="24" fillId="7" borderId="404" applyNumberFormat="0" applyAlignment="0" applyProtection="0"/>
    <xf numFmtId="0" fontId="24" fillId="7" borderId="404" applyNumberFormat="0" applyAlignment="0" applyProtection="0"/>
    <xf numFmtId="186" fontId="14" fillId="0" borderId="396" applyFont="0" applyFill="0" applyBorder="0" applyAlignment="0" applyProtection="0"/>
    <xf numFmtId="0" fontId="24" fillId="7" borderId="390" applyNumberFormat="0" applyAlignment="0" applyProtection="0"/>
    <xf numFmtId="0" fontId="24" fillId="7" borderId="390" applyNumberFormat="0" applyAlignment="0" applyProtection="0"/>
    <xf numFmtId="0" fontId="14" fillId="23" borderId="378" applyFill="0">
      <alignment horizontal="center" vertical="center" wrapText="1"/>
    </xf>
    <xf numFmtId="0" fontId="24" fillId="7" borderId="410" applyNumberFormat="0" applyAlignment="0" applyProtection="0"/>
    <xf numFmtId="0" fontId="24" fillId="7" borderId="410" applyNumberFormat="0" applyAlignment="0" applyProtection="0"/>
    <xf numFmtId="0" fontId="10" fillId="0" borderId="369" applyFont="0" applyFill="0" applyBorder="0" applyAlignment="0" applyProtection="0"/>
    <xf numFmtId="170" fontId="10" fillId="0" borderId="369" applyFont="0" applyFill="0" applyBorder="0" applyAlignment="0" applyProtection="0"/>
    <xf numFmtId="164" fontId="17" fillId="36" borderId="395">
      <alignment horizontal="center" vertical="center"/>
    </xf>
    <xf numFmtId="0" fontId="24" fillId="7" borderId="404" applyNumberFormat="0" applyAlignment="0" applyProtection="0"/>
    <xf numFmtId="164" fontId="17" fillId="38" borderId="375">
      <alignment horizontal="left" vertical="center"/>
    </xf>
    <xf numFmtId="0" fontId="24" fillId="7" borderId="383" applyNumberFormat="0" applyAlignment="0" applyProtection="0"/>
    <xf numFmtId="0" fontId="24" fillId="7" borderId="390" applyNumberFormat="0" applyAlignment="0" applyProtection="0"/>
    <xf numFmtId="0" fontId="24" fillId="7" borderId="390" applyNumberFormat="0" applyAlignment="0" applyProtection="0"/>
    <xf numFmtId="0" fontId="24" fillId="7" borderId="383" applyNumberFormat="0" applyAlignment="0" applyProtection="0"/>
    <xf numFmtId="0" fontId="24" fillId="7" borderId="397" applyNumberFormat="0" applyAlignment="0" applyProtection="0"/>
    <xf numFmtId="0" fontId="24" fillId="7" borderId="397" applyNumberFormat="0" applyAlignment="0" applyProtection="0"/>
    <xf numFmtId="0" fontId="49" fillId="23" borderId="384" applyFill="0">
      <alignment horizontal="center" vertical="center" wrapText="1"/>
    </xf>
    <xf numFmtId="0" fontId="24" fillId="7" borderId="397" applyNumberFormat="0" applyAlignment="0" applyProtection="0"/>
    <xf numFmtId="0" fontId="24" fillId="7" borderId="397" applyNumberFormat="0" applyAlignment="0" applyProtection="0"/>
    <xf numFmtId="164" fontId="17" fillId="36" borderId="381">
      <alignment horizontal="center" vertical="center"/>
    </xf>
    <xf numFmtId="0" fontId="28" fillId="26" borderId="406" applyNumberFormat="0" applyAlignment="0" applyProtection="0"/>
    <xf numFmtId="0" fontId="10" fillId="26" borderId="385" applyNumberFormat="0" applyFont="0" applyAlignment="0" applyProtection="0"/>
    <xf numFmtId="0" fontId="24" fillId="7" borderId="410" applyNumberFormat="0" applyAlignment="0" applyProtection="0"/>
    <xf numFmtId="186" fontId="14" fillId="0" borderId="409" applyFont="0" applyFill="0" applyBorder="0" applyAlignment="0" applyProtection="0"/>
    <xf numFmtId="164" fontId="17" fillId="38" borderId="388">
      <alignment horizontal="left" vertical="center"/>
    </xf>
    <xf numFmtId="0" fontId="50" fillId="23" borderId="398" applyFill="0">
      <alignment horizontal="center" vertical="center" wrapText="1"/>
    </xf>
    <xf numFmtId="0" fontId="26" fillId="20" borderId="413" applyNumberFormat="0" applyAlignment="0" applyProtection="0"/>
    <xf numFmtId="0" fontId="24" fillId="7" borderId="383" applyNumberFormat="0" applyAlignment="0" applyProtection="0"/>
    <xf numFmtId="0" fontId="24" fillId="7" borderId="383" applyNumberFormat="0" applyAlignment="0" applyProtection="0"/>
    <xf numFmtId="0" fontId="24" fillId="7" borderId="397" applyNumberFormat="0" applyAlignment="0" applyProtection="0"/>
    <xf numFmtId="0" fontId="24" fillId="7" borderId="410" applyNumberFormat="0" applyAlignment="0" applyProtection="0"/>
    <xf numFmtId="0" fontId="14" fillId="23" borderId="371" applyFill="0">
      <alignment horizontal="center" vertical="center" wrapText="1"/>
    </xf>
    <xf numFmtId="0" fontId="34" fillId="20" borderId="410" applyNumberFormat="0" applyAlignment="0" applyProtection="0"/>
    <xf numFmtId="0" fontId="26" fillId="20" borderId="400" applyNumberFormat="0" applyAlignment="0" applyProtection="0"/>
    <xf numFmtId="0" fontId="24" fillId="7" borderId="410" applyNumberFormat="0" applyAlignment="0" applyProtection="0"/>
    <xf numFmtId="0" fontId="50" fillId="23" borderId="384" applyFill="0">
      <alignment horizontal="center" vertical="center" wrapText="1"/>
    </xf>
    <xf numFmtId="0" fontId="24" fillId="7" borderId="390" applyNumberFormat="0" applyAlignment="0" applyProtection="0"/>
    <xf numFmtId="0" fontId="24" fillId="7" borderId="410" applyNumberFormat="0" applyAlignment="0" applyProtection="0"/>
    <xf numFmtId="0" fontId="24" fillId="7" borderId="397" applyNumberFormat="0" applyAlignment="0" applyProtection="0"/>
    <xf numFmtId="0" fontId="34" fillId="20" borderId="390" applyNumberFormat="0" applyAlignment="0" applyProtection="0"/>
    <xf numFmtId="0" fontId="24" fillId="7" borderId="404" applyNumberFormat="0" applyAlignment="0" applyProtection="0"/>
    <xf numFmtId="0" fontId="24" fillId="7" borderId="410" applyNumberFormat="0" applyAlignment="0" applyProtection="0"/>
    <xf numFmtId="186" fontId="14" fillId="0" borderId="376" applyFont="0" applyFill="0" applyBorder="0" applyAlignment="0" applyProtection="0"/>
    <xf numFmtId="0" fontId="24" fillId="7" borderId="404" applyNumberFormat="0" applyAlignment="0" applyProtection="0"/>
    <xf numFmtId="0" fontId="24" fillId="7" borderId="397" applyNumberFormat="0" applyAlignment="0" applyProtection="0"/>
    <xf numFmtId="0" fontId="24" fillId="7" borderId="390" applyNumberFormat="0" applyAlignment="0" applyProtection="0"/>
    <xf numFmtId="0" fontId="24" fillId="7" borderId="397" applyNumberFormat="0" applyAlignment="0" applyProtection="0"/>
    <xf numFmtId="0" fontId="24" fillId="7" borderId="397" applyNumberFormat="0" applyAlignment="0" applyProtection="0"/>
    <xf numFmtId="0" fontId="24" fillId="7" borderId="397" applyNumberFormat="0" applyAlignment="0" applyProtection="0"/>
    <xf numFmtId="0" fontId="14" fillId="23" borderId="398" applyFill="0">
      <alignment horizontal="center" vertical="center" wrapText="1"/>
    </xf>
    <xf numFmtId="0" fontId="24" fillId="7" borderId="397" applyNumberFormat="0" applyAlignment="0" applyProtection="0"/>
    <xf numFmtId="0" fontId="28" fillId="26" borderId="412" applyNumberFormat="0" applyAlignment="0" applyProtection="0"/>
    <xf numFmtId="0" fontId="10" fillId="0" borderId="409" applyFont="0" applyFill="0" applyBorder="0" applyAlignment="0" applyProtection="0"/>
    <xf numFmtId="0" fontId="34" fillId="20" borderId="370" applyNumberFormat="0" applyAlignment="0" applyProtection="0"/>
    <xf numFmtId="0" fontId="26" fillId="20" borderId="413" applyNumberFormat="0" applyAlignment="0" applyProtection="0"/>
    <xf numFmtId="0" fontId="34" fillId="20" borderId="383" applyNumberFormat="0" applyAlignment="0" applyProtection="0"/>
    <xf numFmtId="0" fontId="24" fillId="7" borderId="410" applyNumberFormat="0" applyAlignment="0" applyProtection="0"/>
    <xf numFmtId="0" fontId="24" fillId="7" borderId="41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70" applyNumberFormat="0" applyAlignment="0" applyProtection="0"/>
    <xf numFmtId="0" fontId="24" fillId="7" borderId="383" applyNumberFormat="0" applyAlignment="0" applyProtection="0"/>
    <xf numFmtId="0" fontId="26" fillId="20" borderId="386" applyNumberFormat="0" applyAlignment="0" applyProtection="0"/>
    <xf numFmtId="0" fontId="26" fillId="20" borderId="373" applyNumberFormat="0" applyAlignment="0" applyProtection="0"/>
    <xf numFmtId="0" fontId="24" fillId="7" borderId="410" applyNumberFormat="0" applyAlignment="0" applyProtection="0"/>
    <xf numFmtId="0" fontId="27" fillId="0" borderId="374" applyNumberFormat="0" applyFill="0" applyAlignment="0" applyProtection="0"/>
    <xf numFmtId="0" fontId="24" fillId="7" borderId="404" applyNumberFormat="0" applyAlignment="0" applyProtection="0"/>
    <xf numFmtId="164" fontId="17" fillId="36" borderId="375">
      <alignment horizontal="center" vertical="center"/>
    </xf>
    <xf numFmtId="0" fontId="24" fillId="7" borderId="383" applyNumberFormat="0" applyAlignment="0" applyProtection="0"/>
    <xf numFmtId="0" fontId="28" fillId="26" borderId="392" applyNumberFormat="0" applyAlignment="0" applyProtection="0"/>
    <xf numFmtId="164" fontId="95" fillId="37" borderId="368">
      <alignment horizontal="right" vertical="center"/>
    </xf>
    <xf numFmtId="164" fontId="17" fillId="36" borderId="402">
      <alignment horizontal="center" vertical="center"/>
    </xf>
    <xf numFmtId="0" fontId="24" fillId="7" borderId="397" applyNumberFormat="0" applyAlignment="0" applyProtection="0"/>
    <xf numFmtId="0" fontId="26" fillId="20" borderId="400" applyNumberFormat="0" applyAlignment="0" applyProtection="0"/>
    <xf numFmtId="0" fontId="26" fillId="20" borderId="386" applyNumberFormat="0" applyAlignment="0" applyProtection="0"/>
    <xf numFmtId="164" fontId="17" fillId="38" borderId="368">
      <alignment horizontal="left" vertical="center"/>
    </xf>
    <xf numFmtId="0" fontId="24" fillId="7" borderId="383" applyNumberFormat="0" applyAlignment="0" applyProtection="0"/>
    <xf numFmtId="0" fontId="24" fillId="7" borderId="410" applyNumberFormat="0" applyAlignment="0" applyProtection="0"/>
    <xf numFmtId="170" fontId="10" fillId="0" borderId="403" applyFont="0" applyFill="0" applyBorder="0" applyAlignment="0" applyProtection="0"/>
    <xf numFmtId="0" fontId="34" fillId="20" borderId="410" applyNumberFormat="0" applyAlignment="0" applyProtection="0"/>
    <xf numFmtId="0" fontId="24" fillId="7" borderId="404" applyNumberFormat="0" applyAlignment="0" applyProtection="0"/>
    <xf numFmtId="0" fontId="24" fillId="7" borderId="410" applyNumberFormat="0" applyAlignment="0" applyProtection="0"/>
    <xf numFmtId="0" fontId="50" fillId="23" borderId="384" applyFill="0">
      <alignment horizontal="center" vertical="center" wrapText="1"/>
    </xf>
    <xf numFmtId="0" fontId="10" fillId="26" borderId="392" applyNumberFormat="0" applyFont="0" applyAlignment="0" applyProtection="0"/>
    <xf numFmtId="0" fontId="24" fillId="7" borderId="410" applyNumberFormat="0" applyAlignment="0" applyProtection="0"/>
    <xf numFmtId="0" fontId="24" fillId="7" borderId="383" applyNumberFormat="0" applyAlignment="0" applyProtection="0"/>
    <xf numFmtId="0" fontId="24" fillId="7" borderId="377" applyNumberFormat="0" applyAlignment="0" applyProtection="0"/>
    <xf numFmtId="0" fontId="26" fillId="20" borderId="380" applyNumberFormat="0" applyAlignment="0" applyProtection="0"/>
    <xf numFmtId="0" fontId="28" fillId="26" borderId="379" applyNumberFormat="0" applyAlignment="0" applyProtection="0"/>
    <xf numFmtId="0" fontId="24" fillId="7" borderId="383" applyNumberFormat="0" applyAlignment="0" applyProtection="0"/>
    <xf numFmtId="0" fontId="28" fillId="26" borderId="379" applyNumberFormat="0" applyAlignment="0" applyProtection="0"/>
    <xf numFmtId="0" fontId="26" fillId="20" borderId="380" applyNumberFormat="0" applyAlignment="0" applyProtection="0"/>
    <xf numFmtId="0" fontId="24" fillId="7" borderId="410" applyNumberFormat="0" applyAlignment="0" applyProtection="0"/>
    <xf numFmtId="0" fontId="24" fillId="7" borderId="410" applyNumberFormat="0" applyAlignment="0" applyProtection="0"/>
    <xf numFmtId="0" fontId="24" fillId="7" borderId="377" applyNumberFormat="0" applyAlignment="0" applyProtection="0"/>
    <xf numFmtId="0" fontId="24" fillId="7" borderId="397" applyNumberFormat="0" applyAlignment="0" applyProtection="0"/>
    <xf numFmtId="0" fontId="24" fillId="7" borderId="383" applyNumberFormat="0" applyAlignment="0" applyProtection="0"/>
    <xf numFmtId="0" fontId="24" fillId="7" borderId="410" applyNumberFormat="0" applyAlignment="0" applyProtection="0"/>
    <xf numFmtId="170" fontId="10" fillId="0" borderId="396" applyFont="0" applyFill="0" applyBorder="0" applyAlignment="0" applyProtection="0"/>
    <xf numFmtId="0" fontId="50" fillId="23" borderId="378" applyFill="0">
      <alignment horizontal="center" vertical="center" wrapText="1"/>
    </xf>
    <xf numFmtId="0" fontId="24" fillId="7" borderId="410" applyNumberFormat="0" applyAlignment="0" applyProtection="0"/>
    <xf numFmtId="0" fontId="24" fillId="7" borderId="397" applyNumberFormat="0" applyAlignment="0" applyProtection="0"/>
    <xf numFmtId="0" fontId="24" fillId="7" borderId="390" applyNumberFormat="0" applyAlignment="0" applyProtection="0"/>
    <xf numFmtId="0" fontId="24" fillId="7" borderId="404" applyNumberFormat="0" applyAlignment="0" applyProtection="0"/>
    <xf numFmtId="0" fontId="24" fillId="7" borderId="390" applyNumberFormat="0" applyAlignment="0" applyProtection="0"/>
    <xf numFmtId="0" fontId="24" fillId="7" borderId="390" applyNumberFormat="0" applyAlignment="0" applyProtection="0"/>
    <xf numFmtId="0" fontId="14" fillId="23" borderId="391" applyFill="0">
      <alignment horizontal="center" vertical="center" wrapText="1"/>
    </xf>
    <xf numFmtId="0" fontId="24" fillId="7" borderId="383" applyNumberFormat="0" applyAlignment="0" applyProtection="0"/>
    <xf numFmtId="0" fontId="27" fillId="0" borderId="394" applyNumberFormat="0" applyFill="0" applyAlignment="0" applyProtection="0"/>
    <xf numFmtId="0" fontId="24" fillId="7" borderId="410" applyNumberFormat="0" applyAlignment="0" applyProtection="0"/>
    <xf numFmtId="0" fontId="24" fillId="7" borderId="404" applyNumberFormat="0" applyAlignment="0" applyProtection="0"/>
    <xf numFmtId="0" fontId="24" fillId="7" borderId="397" applyNumberFormat="0" applyAlignment="0" applyProtection="0"/>
    <xf numFmtId="0" fontId="34" fillId="20" borderId="390" applyNumberFormat="0" applyAlignment="0" applyProtection="0"/>
    <xf numFmtId="0" fontId="34" fillId="20" borderId="377" applyNumberFormat="0" applyAlignment="0" applyProtection="0"/>
    <xf numFmtId="0" fontId="24" fillId="7" borderId="410" applyNumberFormat="0" applyAlignment="0" applyProtection="0"/>
    <xf numFmtId="0" fontId="50" fillId="23" borderId="378" applyFill="0">
      <alignment horizontal="center" vertical="center" wrapText="1"/>
    </xf>
    <xf numFmtId="0" fontId="24" fillId="7" borderId="397" applyNumberFormat="0" applyAlignment="0" applyProtection="0"/>
    <xf numFmtId="0" fontId="24" fillId="7" borderId="377" applyNumberFormat="0" applyAlignment="0" applyProtection="0"/>
    <xf numFmtId="0" fontId="34" fillId="20" borderId="377" applyNumberFormat="0" applyAlignment="0" applyProtection="0"/>
    <xf numFmtId="0" fontId="34" fillId="20" borderId="383" applyNumberFormat="0" applyAlignment="0" applyProtection="0"/>
    <xf numFmtId="0" fontId="24" fillId="7" borderId="390" applyNumberFormat="0" applyAlignment="0" applyProtection="0"/>
    <xf numFmtId="0" fontId="50" fillId="23" borderId="391" applyFill="0">
      <alignment horizontal="center" vertical="center" wrapText="1"/>
    </xf>
    <xf numFmtId="0" fontId="24" fillId="7" borderId="410" applyNumberFormat="0" applyAlignment="0" applyProtection="0"/>
    <xf numFmtId="0" fontId="49" fillId="23" borderId="378" applyFill="0">
      <alignment horizontal="center" vertical="center" wrapText="1"/>
    </xf>
    <xf numFmtId="0" fontId="24" fillId="7" borderId="410" applyNumberFormat="0" applyAlignment="0" applyProtection="0"/>
    <xf numFmtId="0" fontId="24" fillId="7" borderId="377" applyNumberFormat="0" applyAlignment="0" applyProtection="0"/>
    <xf numFmtId="170" fontId="10" fillId="0" borderId="382" applyFont="0" applyFill="0" applyBorder="0" applyAlignment="0" applyProtection="0"/>
    <xf numFmtId="0" fontId="24" fillId="7" borderId="377" applyNumberFormat="0" applyAlignment="0" applyProtection="0"/>
    <xf numFmtId="0" fontId="24" fillId="7" borderId="377" applyNumberFormat="0" applyAlignment="0" applyProtection="0"/>
    <xf numFmtId="0" fontId="27" fillId="0" borderId="401" applyNumberFormat="0" applyFill="0" applyAlignment="0" applyProtection="0"/>
    <xf numFmtId="0" fontId="24" fillId="7" borderId="377" applyNumberFormat="0" applyAlignment="0" applyProtection="0"/>
    <xf numFmtId="164" fontId="17" fillId="36" borderId="388">
      <alignment horizontal="center" vertical="center"/>
    </xf>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90" applyNumberFormat="0" applyAlignment="0" applyProtection="0"/>
    <xf numFmtId="0" fontId="26" fillId="20" borderId="413" applyNumberFormat="0" applyAlignment="0" applyProtection="0"/>
    <xf numFmtId="0" fontId="24" fillId="7" borderId="397" applyNumberFormat="0" applyAlignment="0" applyProtection="0"/>
    <xf numFmtId="0" fontId="24" fillId="7" borderId="377" applyNumberFormat="0" applyAlignment="0" applyProtection="0"/>
    <xf numFmtId="0" fontId="24" fillId="7" borderId="390" applyNumberFormat="0" applyAlignment="0" applyProtection="0"/>
    <xf numFmtId="0" fontId="24" fillId="7" borderId="390" applyNumberFormat="0" applyAlignment="0" applyProtection="0"/>
    <xf numFmtId="0" fontId="24" fillId="7" borderId="377" applyNumberFormat="0" applyAlignment="0" applyProtection="0"/>
    <xf numFmtId="0" fontId="24" fillId="7" borderId="410" applyNumberFormat="0" applyAlignment="0" applyProtection="0"/>
    <xf numFmtId="0" fontId="24" fillId="7" borderId="410" applyNumberFormat="0" applyAlignment="0" applyProtection="0"/>
    <xf numFmtId="170" fontId="10" fillId="0" borderId="389" applyFont="0" applyFill="0" applyBorder="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404" applyNumberFormat="0" applyAlignment="0" applyProtection="0"/>
    <xf numFmtId="0" fontId="24" fillId="7" borderId="377" applyNumberFormat="0" applyAlignment="0" applyProtection="0"/>
    <xf numFmtId="0" fontId="24" fillId="7" borderId="390"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77" applyNumberFormat="0" applyAlignment="0" applyProtection="0"/>
    <xf numFmtId="0" fontId="24" fillId="7" borderId="397" applyNumberFormat="0" applyAlignment="0" applyProtection="0"/>
    <xf numFmtId="0" fontId="24" fillId="7" borderId="404" applyNumberFormat="0" applyAlignment="0" applyProtection="0"/>
    <xf numFmtId="0" fontId="24" fillId="7" borderId="397" applyNumberFormat="0" applyAlignment="0" applyProtection="0"/>
    <xf numFmtId="0" fontId="10" fillId="0" borderId="396" applyFont="0" applyFill="0" applyBorder="0" applyAlignment="0" applyProtection="0"/>
    <xf numFmtId="0" fontId="24" fillId="7" borderId="404" applyNumberFormat="0" applyAlignment="0" applyProtection="0"/>
    <xf numFmtId="0" fontId="49" fillId="23" borderId="405" applyFill="0">
      <alignment horizontal="center" vertical="center" wrapText="1"/>
    </xf>
    <xf numFmtId="164" fontId="17" fillId="38" borderId="381">
      <alignment horizontal="left" vertical="center"/>
    </xf>
    <xf numFmtId="0" fontId="24" fillId="7" borderId="397" applyNumberFormat="0" applyAlignment="0" applyProtection="0"/>
    <xf numFmtId="0" fontId="24" fillId="7" borderId="390" applyNumberFormat="0" applyAlignment="0" applyProtection="0"/>
    <xf numFmtId="0" fontId="24" fillId="7" borderId="410" applyNumberFormat="0" applyAlignment="0" applyProtection="0"/>
    <xf numFmtId="0" fontId="34" fillId="20" borderId="390" applyNumberFormat="0" applyAlignment="0" applyProtection="0"/>
    <xf numFmtId="0" fontId="27" fillId="0" borderId="414" applyNumberFormat="0" applyFill="0" applyAlignment="0" applyProtection="0"/>
    <xf numFmtId="0" fontId="24" fillId="7" borderId="404" applyNumberFormat="0" applyAlignment="0" applyProtection="0"/>
    <xf numFmtId="170" fontId="10" fillId="0" borderId="376" applyFont="0" applyFill="0" applyBorder="0" applyAlignment="0" applyProtection="0"/>
    <xf numFmtId="0" fontId="10" fillId="0" borderId="376" applyFont="0" applyFill="0" applyBorder="0" applyAlignment="0" applyProtection="0"/>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0" fontId="28" fillId="26" borderId="412" applyNumberFormat="0" applyAlignment="0" applyProtection="0"/>
    <xf numFmtId="0" fontId="24" fillId="7" borderId="410" applyNumberFormat="0" applyAlignment="0" applyProtection="0"/>
    <xf numFmtId="0" fontId="10" fillId="26" borderId="379" applyNumberFormat="0" applyFont="0" applyAlignment="0" applyProtection="0"/>
    <xf numFmtId="0" fontId="26" fillId="20" borderId="393" applyNumberFormat="0" applyAlignment="0" applyProtection="0"/>
    <xf numFmtId="0" fontId="10" fillId="26" borderId="399" applyNumberFormat="0" applyFont="0" applyAlignment="0" applyProtection="0"/>
    <xf numFmtId="0" fontId="10" fillId="26" borderId="406" applyNumberFormat="0" applyFont="0" applyAlignment="0" applyProtection="0"/>
    <xf numFmtId="0" fontId="24" fillId="7" borderId="390" applyNumberFormat="0" applyAlignment="0" applyProtection="0"/>
    <xf numFmtId="0" fontId="24" fillId="7" borderId="390" applyNumberFormat="0" applyAlignment="0" applyProtection="0"/>
    <xf numFmtId="0" fontId="24" fillId="7" borderId="390" applyNumberFormat="0" applyAlignment="0" applyProtection="0"/>
    <xf numFmtId="0" fontId="24" fillId="7" borderId="410" applyNumberFormat="0" applyAlignment="0" applyProtection="0"/>
    <xf numFmtId="0" fontId="50" fillId="23" borderId="398" applyFill="0">
      <alignment horizontal="center" vertical="center" wrapText="1"/>
    </xf>
    <xf numFmtId="0" fontId="24" fillId="7" borderId="390" applyNumberFormat="0" applyAlignment="0" applyProtection="0"/>
    <xf numFmtId="0" fontId="24" fillId="7" borderId="390" applyNumberFormat="0" applyAlignment="0" applyProtection="0"/>
    <xf numFmtId="0" fontId="24" fillId="7" borderId="410" applyNumberFormat="0" applyAlignment="0" applyProtection="0"/>
    <xf numFmtId="0" fontId="24" fillId="7" borderId="390" applyNumberFormat="0" applyAlignment="0" applyProtection="0"/>
    <xf numFmtId="164" fontId="17" fillId="36" borderId="408">
      <alignment horizontal="center" vertical="center"/>
    </xf>
    <xf numFmtId="0" fontId="24" fillId="7" borderId="390" applyNumberFormat="0" applyAlignment="0" applyProtection="0"/>
    <xf numFmtId="0" fontId="24" fillId="7" borderId="390" applyNumberFormat="0" applyAlignment="0" applyProtection="0"/>
    <xf numFmtId="0" fontId="24" fillId="7" borderId="383" applyNumberFormat="0" applyAlignment="0" applyProtection="0"/>
    <xf numFmtId="0" fontId="24" fillId="7" borderId="383" applyNumberFormat="0" applyAlignment="0" applyProtection="0"/>
    <xf numFmtId="0" fontId="24" fillId="7" borderId="410" applyNumberFormat="0" applyAlignment="0" applyProtection="0"/>
    <xf numFmtId="0" fontId="24" fillId="7" borderId="390" applyNumberFormat="0" applyAlignment="0" applyProtection="0"/>
    <xf numFmtId="0" fontId="26" fillId="20" borderId="400" applyNumberFormat="0" applyAlignment="0" applyProtection="0"/>
    <xf numFmtId="0" fontId="24" fillId="7" borderId="377" applyNumberFormat="0" applyAlignment="0" applyProtection="0"/>
    <xf numFmtId="0" fontId="24" fillId="7" borderId="377" applyNumberFormat="0" applyAlignment="0" applyProtection="0"/>
    <xf numFmtId="0" fontId="24" fillId="7" borderId="404" applyNumberFormat="0" applyAlignment="0" applyProtection="0"/>
    <xf numFmtId="0" fontId="24" fillId="7" borderId="377" applyNumberFormat="0" applyAlignment="0" applyProtection="0"/>
    <xf numFmtId="0" fontId="24" fillId="7" borderId="377" applyNumberFormat="0" applyAlignment="0" applyProtection="0"/>
    <xf numFmtId="0" fontId="24" fillId="7" borderId="410" applyNumberFormat="0" applyAlignment="0" applyProtection="0"/>
    <xf numFmtId="0" fontId="34" fillId="20" borderId="397" applyNumberFormat="0" applyAlignment="0" applyProtection="0"/>
    <xf numFmtId="0" fontId="24" fillId="7" borderId="410" applyNumberFormat="0" applyAlignment="0" applyProtection="0"/>
    <xf numFmtId="0" fontId="24" fillId="7" borderId="410" applyNumberFormat="0" applyAlignment="0" applyProtection="0"/>
    <xf numFmtId="0" fontId="10" fillId="0" borderId="382" applyFont="0" applyFill="0" applyBorder="0" applyAlignment="0" applyProtection="0"/>
    <xf numFmtId="0" fontId="34" fillId="20" borderId="397" applyNumberFormat="0" applyAlignment="0" applyProtection="0"/>
    <xf numFmtId="0" fontId="24" fillId="7" borderId="404" applyNumberFormat="0" applyAlignment="0" applyProtection="0"/>
    <xf numFmtId="0" fontId="24" fillId="7" borderId="397" applyNumberFormat="0" applyAlignment="0" applyProtection="0"/>
    <xf numFmtId="0" fontId="24" fillId="7" borderId="404" applyNumberFormat="0" applyAlignment="0" applyProtection="0"/>
    <xf numFmtId="0" fontId="24" fillId="7" borderId="383" applyNumberFormat="0" applyAlignment="0" applyProtection="0"/>
    <xf numFmtId="0" fontId="24" fillId="7" borderId="397" applyNumberFormat="0" applyAlignment="0" applyProtection="0"/>
    <xf numFmtId="0" fontId="24" fillId="7" borderId="383" applyNumberFormat="0" applyAlignment="0" applyProtection="0"/>
    <xf numFmtId="0" fontId="24" fillId="7" borderId="383" applyNumberFormat="0" applyAlignment="0" applyProtection="0"/>
    <xf numFmtId="0" fontId="24" fillId="7" borderId="383" applyNumberFormat="0" applyAlignment="0" applyProtection="0"/>
    <xf numFmtId="0" fontId="24" fillId="7" borderId="383" applyNumberFormat="0" applyAlignment="0" applyProtection="0"/>
    <xf numFmtId="0" fontId="24" fillId="7" borderId="410" applyNumberFormat="0" applyAlignment="0" applyProtection="0"/>
    <xf numFmtId="0" fontId="26" fillId="20" borderId="407" applyNumberFormat="0" applyAlignment="0" applyProtection="0"/>
    <xf numFmtId="186" fontId="14" fillId="0" borderId="382" applyFont="0" applyFill="0" applyBorder="0" applyAlignment="0" applyProtection="0"/>
    <xf numFmtId="164" fontId="95" fillId="37" borderId="402">
      <alignment horizontal="right" vertical="center"/>
    </xf>
    <xf numFmtId="0" fontId="28" fillId="26" borderId="385" applyNumberFormat="0" applyAlignment="0" applyProtection="0"/>
    <xf numFmtId="0" fontId="34" fillId="20" borderId="383" applyNumberFormat="0" applyAlignment="0" applyProtection="0"/>
    <xf numFmtId="164" fontId="17" fillId="36" borderId="415">
      <alignment horizontal="center" vertical="center"/>
    </xf>
    <xf numFmtId="0" fontId="24" fillId="7" borderId="404" applyNumberFormat="0" applyAlignment="0" applyProtection="0"/>
    <xf numFmtId="0" fontId="34" fillId="20" borderId="397" applyNumberFormat="0" applyAlignment="0" applyProtection="0"/>
    <xf numFmtId="0" fontId="24" fillId="7" borderId="390" applyNumberFormat="0" applyAlignment="0" applyProtection="0"/>
    <xf numFmtId="0" fontId="26" fillId="20" borderId="393" applyNumberFormat="0" applyAlignment="0" applyProtection="0"/>
    <xf numFmtId="0" fontId="24" fillId="7" borderId="383" applyNumberFormat="0" applyAlignment="0" applyProtection="0"/>
    <xf numFmtId="0" fontId="24" fillId="7" borderId="383" applyNumberFormat="0" applyAlignment="0" applyProtection="0"/>
    <xf numFmtId="186" fontId="14" fillId="0" borderId="389" applyFont="0" applyFill="0" applyBorder="0" applyAlignment="0" applyProtection="0"/>
    <xf numFmtId="0" fontId="24" fillId="7" borderId="383" applyNumberFormat="0" applyAlignment="0" applyProtection="0"/>
    <xf numFmtId="0" fontId="24" fillId="7" borderId="383" applyNumberFormat="0" applyAlignment="0" applyProtection="0"/>
    <xf numFmtId="0" fontId="14" fillId="23" borderId="384" applyFill="0">
      <alignment horizontal="center" vertical="center" wrapText="1"/>
    </xf>
    <xf numFmtId="0" fontId="49" fillId="23" borderId="411" applyFill="0">
      <alignment horizontal="center" vertical="center" wrapText="1"/>
    </xf>
    <xf numFmtId="0" fontId="10" fillId="0" borderId="389" applyFont="0" applyFill="0" applyBorder="0" applyAlignment="0" applyProtection="0"/>
    <xf numFmtId="0" fontId="24" fillId="7" borderId="390" applyNumberFormat="0" applyAlignment="0" applyProtection="0"/>
    <xf numFmtId="0" fontId="24" fillId="7" borderId="390" applyNumberFormat="0" applyAlignment="0" applyProtection="0"/>
    <xf numFmtId="0" fontId="50" fillId="23" borderId="405" applyFill="0">
      <alignment horizontal="center" vertical="center" wrapText="1"/>
    </xf>
    <xf numFmtId="0" fontId="24" fillId="7" borderId="390" applyNumberFormat="0" applyAlignment="0" applyProtection="0"/>
    <xf numFmtId="0" fontId="24" fillId="7" borderId="390" applyNumberFormat="0" applyAlignment="0" applyProtection="0"/>
    <xf numFmtId="0" fontId="24" fillId="7" borderId="404" applyNumberFormat="0" applyAlignment="0" applyProtection="0"/>
    <xf numFmtId="0" fontId="49" fillId="23" borderId="391" applyFill="0">
      <alignment horizontal="center" vertical="center" wrapText="1"/>
    </xf>
    <xf numFmtId="0" fontId="24" fillId="7" borderId="404" applyNumberFormat="0" applyAlignment="0" applyProtection="0"/>
    <xf numFmtId="0" fontId="24" fillId="7" borderId="410" applyNumberFormat="0" applyAlignment="0" applyProtection="0"/>
    <xf numFmtId="0" fontId="50" fillId="23" borderId="391" applyFill="0">
      <alignment horizontal="center" vertical="center" wrapText="1"/>
    </xf>
    <xf numFmtId="0" fontId="10" fillId="26" borderId="412" applyNumberFormat="0" applyFont="0" applyAlignment="0" applyProtection="0"/>
    <xf numFmtId="0" fontId="24" fillId="7" borderId="397" applyNumberFormat="0" applyAlignment="0" applyProtection="0"/>
    <xf numFmtId="0" fontId="24" fillId="7" borderId="404" applyNumberFormat="0" applyAlignment="0" applyProtection="0"/>
    <xf numFmtId="0" fontId="26" fillId="20" borderId="393" applyNumberFormat="0" applyAlignment="0" applyProtection="0"/>
    <xf numFmtId="164" fontId="95" fillId="37" borderId="381">
      <alignment horizontal="right" vertical="center"/>
    </xf>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164" fontId="95" fillId="37" borderId="388">
      <alignment horizontal="right" vertical="center"/>
    </xf>
    <xf numFmtId="0" fontId="24" fillId="7" borderId="397" applyNumberFormat="0" applyAlignment="0" applyProtection="0"/>
    <xf numFmtId="0" fontId="24" fillId="7" borderId="404" applyNumberFormat="0" applyAlignment="0" applyProtection="0"/>
    <xf numFmtId="0" fontId="24" fillId="7" borderId="390" applyNumberFormat="0" applyAlignment="0" applyProtection="0"/>
    <xf numFmtId="0" fontId="24" fillId="7" borderId="390" applyNumberFormat="0" applyAlignment="0" applyProtection="0"/>
    <xf numFmtId="0" fontId="34" fillId="20" borderId="410" applyNumberFormat="0" applyAlignment="0" applyProtection="0"/>
    <xf numFmtId="0" fontId="50" fillId="23" borderId="411" applyFill="0">
      <alignment horizontal="center" vertical="center" wrapText="1"/>
    </xf>
    <xf numFmtId="0" fontId="24" fillId="7" borderId="410" applyNumberFormat="0" applyAlignment="0" applyProtection="0"/>
    <xf numFmtId="0" fontId="24" fillId="7" borderId="410" applyNumberFormat="0" applyAlignment="0" applyProtection="0"/>
    <xf numFmtId="0" fontId="24" fillId="7" borderId="397" applyNumberFormat="0" applyAlignment="0" applyProtection="0"/>
    <xf numFmtId="0" fontId="24" fillId="7" borderId="410" applyNumberFormat="0" applyAlignment="0" applyProtection="0"/>
    <xf numFmtId="0" fontId="24" fillId="7" borderId="397" applyNumberFormat="0" applyAlignment="0" applyProtection="0"/>
    <xf numFmtId="0" fontId="24" fillId="7" borderId="397" applyNumberFormat="0" applyAlignment="0" applyProtection="0"/>
    <xf numFmtId="0" fontId="24" fillId="7" borderId="397" applyNumberFormat="0" applyAlignment="0" applyProtection="0"/>
    <xf numFmtId="0" fontId="34" fillId="20" borderId="404" applyNumberFormat="0" applyAlignment="0" applyProtection="0"/>
    <xf numFmtId="0" fontId="24" fillId="7" borderId="410" applyNumberFormat="0" applyAlignment="0" applyProtection="0"/>
    <xf numFmtId="0" fontId="24" fillId="7" borderId="410" applyNumberFormat="0" applyAlignment="0" applyProtection="0"/>
    <xf numFmtId="164" fontId="17" fillId="38" borderId="408">
      <alignment horizontal="left" vertical="center"/>
    </xf>
    <xf numFmtId="0" fontId="28" fillId="26" borderId="399" applyNumberFormat="0" applyAlignment="0" applyProtection="0"/>
    <xf numFmtId="0" fontId="24" fillId="7" borderId="404" applyNumberFormat="0" applyAlignment="0" applyProtection="0"/>
    <xf numFmtId="0" fontId="24" fillId="7" borderId="410" applyNumberFormat="0" applyAlignment="0" applyProtection="0"/>
    <xf numFmtId="0" fontId="26" fillId="20" borderId="407" applyNumberFormat="0" applyAlignment="0" applyProtection="0"/>
    <xf numFmtId="0" fontId="24" fillId="7" borderId="404" applyNumberFormat="0" applyAlignment="0" applyProtection="0"/>
    <xf numFmtId="0" fontId="28" fillId="26" borderId="412" applyNumberFormat="0" applyAlignment="0" applyProtection="0"/>
    <xf numFmtId="0" fontId="24" fillId="7" borderId="397" applyNumberFormat="0" applyAlignment="0" applyProtection="0"/>
    <xf numFmtId="0" fontId="24" fillId="7" borderId="397" applyNumberFormat="0" applyAlignment="0" applyProtection="0"/>
    <xf numFmtId="0" fontId="26" fillId="20" borderId="413" applyNumberFormat="0" applyAlignment="0" applyProtection="0"/>
    <xf numFmtId="0" fontId="24" fillId="7" borderId="397" applyNumberFormat="0" applyAlignment="0" applyProtection="0"/>
    <xf numFmtId="0" fontId="24" fillId="7" borderId="397" applyNumberFormat="0" applyAlignment="0" applyProtection="0"/>
    <xf numFmtId="0" fontId="34" fillId="20" borderId="410" applyNumberFormat="0" applyAlignment="0" applyProtection="0"/>
    <xf numFmtId="0" fontId="50" fillId="23" borderId="411" applyFill="0">
      <alignment horizontal="center" vertical="center" wrapText="1"/>
    </xf>
    <xf numFmtId="0" fontId="10" fillId="0" borderId="403" applyFont="0" applyFill="0" applyBorder="0" applyAlignment="0" applyProtection="0"/>
    <xf numFmtId="0" fontId="24" fillId="7" borderId="404" applyNumberFormat="0" applyAlignment="0" applyProtection="0"/>
    <xf numFmtId="0" fontId="24" fillId="7" borderId="404" applyNumberFormat="0" applyAlignment="0" applyProtection="0"/>
    <xf numFmtId="0" fontId="24" fillId="7" borderId="410" applyNumberFormat="0" applyAlignment="0" applyProtection="0"/>
    <xf numFmtId="0" fontId="24" fillId="7" borderId="404" applyNumberFormat="0" applyAlignment="0" applyProtection="0"/>
    <xf numFmtId="0" fontId="24" fillId="7" borderId="404" applyNumberFormat="0" applyAlignment="0" applyProtection="0"/>
    <xf numFmtId="186" fontId="14" fillId="0" borderId="403" applyFont="0" applyFill="0" applyBorder="0" applyAlignment="0" applyProtection="0"/>
    <xf numFmtId="0" fontId="24" fillId="7" borderId="410" applyNumberFormat="0" applyAlignment="0" applyProtection="0"/>
    <xf numFmtId="170" fontId="10" fillId="0" borderId="409" applyFont="0" applyFill="0" applyBorder="0" applyAlignment="0" applyProtection="0"/>
    <xf numFmtId="0" fontId="28" fillId="26" borderId="406" applyNumberFormat="0" applyAlignment="0" applyProtection="0"/>
    <xf numFmtId="0" fontId="24" fillId="7" borderId="410" applyNumberFormat="0" applyAlignment="0" applyProtection="0"/>
    <xf numFmtId="0" fontId="24" fillId="7" borderId="410" applyNumberFormat="0" applyAlignment="0" applyProtection="0"/>
    <xf numFmtId="0" fontId="24" fillId="7" borderId="404" applyNumberFormat="0" applyAlignment="0" applyProtection="0"/>
    <xf numFmtId="0" fontId="24" fillId="7" borderId="404" applyNumberFormat="0" applyAlignment="0" applyProtection="0"/>
    <xf numFmtId="0" fontId="24" fillId="7" borderId="404" applyNumberFormat="0" applyAlignment="0" applyProtection="0"/>
    <xf numFmtId="0" fontId="24" fillId="7" borderId="404" applyNumberFormat="0" applyAlignment="0" applyProtection="0"/>
    <xf numFmtId="0" fontId="14" fillId="23" borderId="405" applyFill="0">
      <alignment horizontal="center" vertical="center" wrapText="1"/>
    </xf>
    <xf numFmtId="0" fontId="24" fillId="7" borderId="410" applyNumberFormat="0" applyAlignment="0" applyProtection="0"/>
    <xf numFmtId="0" fontId="24" fillId="7" borderId="410" applyNumberFormat="0" applyAlignment="0" applyProtection="0"/>
    <xf numFmtId="0" fontId="50" fillId="23" borderId="411" applyFill="0">
      <alignment horizontal="center" vertical="center" wrapText="1"/>
    </xf>
    <xf numFmtId="0" fontId="24" fillId="7" borderId="410" applyNumberFormat="0" applyAlignment="0" applyProtection="0"/>
    <xf numFmtId="0" fontId="24" fillId="7" borderId="410" applyNumberFormat="0" applyAlignment="0" applyProtection="0"/>
    <xf numFmtId="0" fontId="26" fillId="20" borderId="413" applyNumberFormat="0" applyAlignment="0" applyProtection="0"/>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0" fontId="14" fillId="23" borderId="411" applyFill="0">
      <alignment horizontal="center" vertical="center" wrapText="1"/>
    </xf>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0" fontId="24" fillId="7" borderId="410" applyNumberFormat="0" applyAlignment="0" applyProtection="0"/>
    <xf numFmtId="0" fontId="49" fillId="23" borderId="411" applyFill="0">
      <alignment horizontal="center" vertical="center" wrapText="1"/>
    </xf>
    <xf numFmtId="0" fontId="50" fillId="23" borderId="411" applyFill="0">
      <alignment horizontal="center" vertical="center" wrapText="1"/>
    </xf>
    <xf numFmtId="164" fontId="95" fillId="37" borderId="408">
      <alignment horizontal="right" vertical="center"/>
    </xf>
    <xf numFmtId="0" fontId="24" fillId="7" borderId="410" applyNumberFormat="0" applyAlignment="0" applyProtection="0"/>
    <xf numFmtId="0" fontId="24" fillId="7" borderId="410" applyNumberFormat="0" applyAlignment="0" applyProtection="0"/>
    <xf numFmtId="38" fontId="97" fillId="0" borderId="0" applyNumberFormat="0" applyFill="0" applyBorder="0" applyAlignment="0" applyProtection="0"/>
    <xf numFmtId="0" fontId="1" fillId="0" borderId="0"/>
  </cellStyleXfs>
  <cellXfs count="102">
    <xf numFmtId="38" fontId="0" fillId="0" borderId="0" xfId="0"/>
    <xf numFmtId="37" fontId="4" fillId="32" borderId="0" xfId="0" applyNumberFormat="1" applyFont="1" applyFill="1" applyAlignment="1">
      <alignment horizontal="left"/>
    </xf>
    <xf numFmtId="37" fontId="6" fillId="32" borderId="0" xfId="0" quotePrefix="1" applyNumberFormat="1" applyFont="1" applyFill="1" applyAlignment="1">
      <alignment horizontal="left"/>
    </xf>
    <xf numFmtId="37" fontId="6" fillId="32" borderId="0" xfId="0" applyNumberFormat="1" applyFont="1" applyFill="1" applyAlignment="1">
      <alignment horizontal="left"/>
    </xf>
    <xf numFmtId="169" fontId="4" fillId="32" borderId="0" xfId="0" applyNumberFormat="1" applyFont="1" applyFill="1" applyAlignment="1">
      <alignment horizontal="left"/>
    </xf>
    <xf numFmtId="37" fontId="5" fillId="32" borderId="0" xfId="0" applyNumberFormat="1" applyFont="1" applyFill="1" applyAlignment="1">
      <alignment horizontal="left"/>
    </xf>
    <xf numFmtId="169" fontId="5" fillId="32" borderId="0" xfId="0" applyNumberFormat="1" applyFont="1" applyFill="1" applyAlignment="1">
      <alignment horizontal="left"/>
    </xf>
    <xf numFmtId="38" fontId="4" fillId="32" borderId="0" xfId="0" applyFont="1" applyFill="1" applyAlignment="1">
      <alignment horizontal="left"/>
    </xf>
    <xf numFmtId="167" fontId="5" fillId="32" borderId="0" xfId="0" quotePrefix="1" applyNumberFormat="1" applyFont="1" applyFill="1" applyAlignment="1">
      <alignment horizontal="left"/>
    </xf>
    <xf numFmtId="37" fontId="5" fillId="32" borderId="0" xfId="0" applyNumberFormat="1" applyFont="1" applyFill="1" applyAlignment="1">
      <alignment horizontal="left" vertical="center"/>
    </xf>
    <xf numFmtId="38" fontId="4" fillId="32" borderId="0" xfId="0" applyFont="1" applyFill="1"/>
    <xf numFmtId="3" fontId="4" fillId="32" borderId="0" xfId="0" applyNumberFormat="1" applyFont="1" applyFill="1" applyAlignment="1">
      <alignment horizontal="left"/>
    </xf>
    <xf numFmtId="37" fontId="4" fillId="32" borderId="0" xfId="0" applyNumberFormat="1" applyFont="1" applyFill="1" applyAlignment="1">
      <alignment horizontal="right"/>
    </xf>
    <xf numFmtId="169" fontId="4" fillId="32" borderId="0" xfId="0" applyNumberFormat="1" applyFont="1" applyFill="1" applyAlignment="1">
      <alignment horizontal="right"/>
    </xf>
    <xf numFmtId="169" fontId="5" fillId="32" borderId="0" xfId="0" applyNumberFormat="1" applyFont="1" applyFill="1" applyAlignment="1">
      <alignment horizontal="right"/>
    </xf>
    <xf numFmtId="37" fontId="6" fillId="32" borderId="0" xfId="0" quotePrefix="1" applyNumberFormat="1" applyFont="1" applyFill="1" applyAlignment="1">
      <alignment horizontal="right"/>
    </xf>
    <xf numFmtId="37" fontId="5" fillId="32" borderId="0" xfId="0" applyNumberFormat="1" applyFont="1" applyFill="1" applyAlignment="1">
      <alignment horizontal="right"/>
    </xf>
    <xf numFmtId="168" fontId="4" fillId="32" borderId="0" xfId="0" applyNumberFormat="1" applyFont="1" applyFill="1" applyAlignment="1">
      <alignment horizontal="right"/>
    </xf>
    <xf numFmtId="169" fontId="4" fillId="32" borderId="0" xfId="99" applyNumberFormat="1" applyFont="1" applyFill="1" applyAlignment="1">
      <alignment horizontal="right"/>
    </xf>
    <xf numFmtId="37" fontId="6" fillId="32" borderId="0" xfId="0" applyNumberFormat="1" applyFont="1" applyFill="1" applyAlignment="1">
      <alignment horizontal="right"/>
    </xf>
    <xf numFmtId="38" fontId="5" fillId="32" borderId="0" xfId="0" applyFont="1" applyFill="1"/>
    <xf numFmtId="38" fontId="6" fillId="32" borderId="0" xfId="0" applyFont="1" applyFill="1"/>
    <xf numFmtId="38" fontId="66" fillId="32" borderId="0" xfId="0" applyFont="1" applyFill="1"/>
    <xf numFmtId="3" fontId="4" fillId="32" borderId="0" xfId="87" quotePrefix="1" applyNumberFormat="1" applyFont="1" applyFill="1" applyAlignment="1">
      <alignment horizontal="right"/>
    </xf>
    <xf numFmtId="38" fontId="4" fillId="32" borderId="0" xfId="0" applyFont="1" applyFill="1" applyAlignment="1">
      <alignment horizontal="left" vertical="top"/>
    </xf>
    <xf numFmtId="38" fontId="4" fillId="32" borderId="0" xfId="0" applyFont="1" applyFill="1" applyAlignment="1">
      <alignment wrapText="1"/>
    </xf>
    <xf numFmtId="38" fontId="6" fillId="32" borderId="0" xfId="0" applyFont="1" applyFill="1" applyAlignment="1">
      <alignment wrapText="1"/>
    </xf>
    <xf numFmtId="38" fontId="4" fillId="32" borderId="21" xfId="0" applyFont="1" applyFill="1" applyBorder="1"/>
    <xf numFmtId="38" fontId="4" fillId="32" borderId="22" xfId="0" applyFont="1" applyFill="1" applyBorder="1"/>
    <xf numFmtId="37" fontId="4" fillId="32" borderId="22" xfId="0" applyNumberFormat="1" applyFont="1" applyFill="1" applyBorder="1" applyAlignment="1">
      <alignment horizontal="right"/>
    </xf>
    <xf numFmtId="38" fontId="4" fillId="32" borderId="23" xfId="0" applyFont="1" applyFill="1" applyBorder="1"/>
    <xf numFmtId="38" fontId="4" fillId="32" borderId="24" xfId="0" applyFont="1" applyFill="1" applyBorder="1"/>
    <xf numFmtId="37" fontId="5" fillId="32" borderId="0" xfId="0" quotePrefix="1" applyNumberFormat="1" applyFont="1" applyFill="1" applyAlignment="1">
      <alignment horizontal="right"/>
    </xf>
    <xf numFmtId="38" fontId="4" fillId="32" borderId="25" xfId="0" applyFont="1" applyFill="1" applyBorder="1"/>
    <xf numFmtId="38" fontId="4" fillId="32" borderId="24" xfId="0" applyFont="1" applyFill="1" applyBorder="1" applyAlignment="1">
      <alignment wrapText="1"/>
    </xf>
    <xf numFmtId="37" fontId="5" fillId="32" borderId="0" xfId="0" quotePrefix="1" applyNumberFormat="1" applyFont="1" applyFill="1" applyAlignment="1">
      <alignment horizontal="right" wrapText="1"/>
    </xf>
    <xf numFmtId="38" fontId="4" fillId="32" borderId="25" xfId="0" applyFont="1" applyFill="1" applyBorder="1" applyAlignment="1">
      <alignment wrapText="1"/>
    </xf>
    <xf numFmtId="37" fontId="5" fillId="32" borderId="9" xfId="0" applyNumberFormat="1" applyFont="1" applyFill="1" applyBorder="1" applyAlignment="1">
      <alignment horizontal="right"/>
    </xf>
    <xf numFmtId="38" fontId="4" fillId="32" borderId="26" xfId="0" applyFont="1" applyFill="1" applyBorder="1"/>
    <xf numFmtId="38" fontId="4" fillId="32" borderId="0" xfId="0" applyFont="1" applyFill="1" applyAlignment="1">
      <alignment vertical="top"/>
    </xf>
    <xf numFmtId="38" fontId="4" fillId="32" borderId="27" xfId="0" applyFont="1" applyFill="1" applyBorder="1"/>
    <xf numFmtId="38" fontId="4" fillId="32" borderId="28" xfId="0" applyFont="1" applyFill="1" applyBorder="1"/>
    <xf numFmtId="37" fontId="4" fillId="32" borderId="28" xfId="0" applyNumberFormat="1" applyFont="1" applyFill="1" applyBorder="1" applyAlignment="1">
      <alignment horizontal="right"/>
    </xf>
    <xf numFmtId="38" fontId="4" fillId="32" borderId="29" xfId="0" applyFont="1" applyFill="1" applyBorder="1"/>
    <xf numFmtId="37" fontId="6" fillId="32" borderId="9" xfId="0" applyNumberFormat="1" applyFont="1" applyFill="1" applyBorder="1" applyAlignment="1">
      <alignment horizontal="right" wrapText="1"/>
    </xf>
    <xf numFmtId="37" fontId="4" fillId="32" borderId="11" xfId="0" applyNumberFormat="1" applyFont="1" applyFill="1" applyBorder="1" applyAlignment="1">
      <alignment horizontal="right"/>
    </xf>
    <xf numFmtId="38" fontId="0" fillId="32" borderId="0" xfId="0" applyFill="1" applyAlignment="1">
      <alignment wrapText="1"/>
    </xf>
    <xf numFmtId="38" fontId="7" fillId="32" borderId="0" xfId="0" applyFont="1" applyFill="1"/>
    <xf numFmtId="37" fontId="6" fillId="32" borderId="9" xfId="0" quotePrefix="1" applyNumberFormat="1" applyFont="1" applyFill="1" applyBorder="1" applyAlignment="1">
      <alignment horizontal="right" wrapText="1"/>
    </xf>
    <xf numFmtId="1" fontId="4" fillId="32" borderId="0" xfId="0" applyNumberFormat="1" applyFont="1" applyFill="1"/>
    <xf numFmtId="38" fontId="68" fillId="32" borderId="0" xfId="0" applyFont="1" applyFill="1"/>
    <xf numFmtId="38" fontId="68" fillId="32" borderId="0" xfId="0" applyFont="1" applyFill="1" applyAlignment="1">
      <alignment horizontal="left"/>
    </xf>
    <xf numFmtId="37" fontId="5" fillId="32" borderId="9" xfId="0" applyNumberFormat="1" applyFont="1" applyFill="1" applyBorder="1" applyAlignment="1">
      <alignment horizontal="right" wrapText="1"/>
    </xf>
    <xf numFmtId="38" fontId="4" fillId="32" borderId="0" xfId="87" applyFont="1" applyFill="1"/>
    <xf numFmtId="38" fontId="5" fillId="32" borderId="0" xfId="87" applyFont="1" applyFill="1"/>
    <xf numFmtId="3" fontId="4" fillId="32" borderId="0" xfId="0" quotePrefix="1" applyNumberFormat="1" applyFont="1" applyFill="1" applyAlignment="1">
      <alignment horizontal="right"/>
    </xf>
    <xf numFmtId="38" fontId="0" fillId="32" borderId="0" xfId="0" applyFill="1"/>
    <xf numFmtId="38" fontId="45" fillId="32" borderId="0" xfId="0" applyFont="1" applyFill="1"/>
    <xf numFmtId="38" fontId="8" fillId="32" borderId="0" xfId="0" applyFont="1" applyFill="1"/>
    <xf numFmtId="38" fontId="4" fillId="32" borderId="11" xfId="0" applyFont="1" applyFill="1" applyBorder="1" applyAlignment="1">
      <alignment horizontal="right"/>
    </xf>
    <xf numFmtId="38" fontId="5" fillId="32" borderId="0" xfId="0" applyFont="1" applyFill="1" applyAlignment="1">
      <alignment horizontal="left"/>
    </xf>
    <xf numFmtId="38" fontId="4" fillId="32" borderId="11" xfId="0" applyFont="1" applyFill="1" applyBorder="1"/>
    <xf numFmtId="38" fontId="4" fillId="32" borderId="0" xfId="0" applyFont="1" applyFill="1" applyAlignment="1">
      <alignment vertical="top" wrapText="1"/>
    </xf>
    <xf numFmtId="38" fontId="5" fillId="32" borderId="0" xfId="0" applyFont="1" applyFill="1" applyAlignment="1">
      <alignment wrapText="1"/>
    </xf>
    <xf numFmtId="38" fontId="4" fillId="32" borderId="0" xfId="0" applyFont="1" applyFill="1" applyAlignment="1">
      <alignment horizontal="left" wrapText="1"/>
    </xf>
    <xf numFmtId="37" fontId="13" fillId="32" borderId="0" xfId="0" applyNumberFormat="1" applyFont="1" applyFill="1" applyAlignment="1">
      <alignment horizontal="right" vertical="center"/>
    </xf>
    <xf numFmtId="38" fontId="16" fillId="32" borderId="0" xfId="0" applyFont="1" applyFill="1"/>
    <xf numFmtId="171" fontId="12" fillId="32" borderId="0" xfId="0" applyNumberFormat="1" applyFont="1" applyFill="1" applyAlignment="1" applyProtection="1">
      <alignment vertical="center"/>
      <protection locked="0"/>
    </xf>
    <xf numFmtId="0" fontId="17" fillId="32" borderId="0" xfId="0" applyNumberFormat="1" applyFont="1" applyFill="1"/>
    <xf numFmtId="38" fontId="66" fillId="32" borderId="0" xfId="0" applyFont="1" applyFill="1" applyAlignment="1">
      <alignment wrapText="1"/>
    </xf>
    <xf numFmtId="37" fontId="4" fillId="32" borderId="0" xfId="0" applyNumberFormat="1" applyFont="1" applyFill="1" applyAlignment="1">
      <alignment horizontal="left" wrapText="1"/>
    </xf>
    <xf numFmtId="38" fontId="67" fillId="32" borderId="0" xfId="0" applyFont="1" applyFill="1"/>
    <xf numFmtId="38" fontId="13" fillId="32" borderId="0" xfId="0" applyFont="1" applyFill="1" applyAlignment="1">
      <alignment wrapText="1"/>
    </xf>
    <xf numFmtId="37" fontId="13" fillId="32" borderId="0" xfId="0" applyNumberFormat="1" applyFont="1" applyFill="1" applyAlignment="1">
      <alignment horizontal="right"/>
    </xf>
    <xf numFmtId="37" fontId="16" fillId="32" borderId="0" xfId="0" applyNumberFormat="1" applyFont="1" applyFill="1" applyAlignment="1">
      <alignment horizontal="left"/>
    </xf>
    <xf numFmtId="169" fontId="5" fillId="32" borderId="0" xfId="0" applyNumberFormat="1" applyFont="1" applyFill="1" applyAlignment="1">
      <alignment horizontal="left" vertical="center"/>
    </xf>
    <xf numFmtId="3" fontId="4" fillId="32" borderId="0" xfId="0" applyNumberFormat="1" applyFont="1" applyFill="1" applyAlignment="1">
      <alignment horizontal="left" wrapText="1"/>
    </xf>
    <xf numFmtId="37" fontId="16" fillId="32" borderId="0" xfId="0" applyNumberFormat="1" applyFont="1" applyFill="1" applyAlignment="1">
      <alignment horizontal="left" vertical="center"/>
    </xf>
    <xf numFmtId="38" fontId="4" fillId="39" borderId="0" xfId="0" applyFont="1" applyFill="1"/>
    <xf numFmtId="37" fontId="4" fillId="39" borderId="0" xfId="0" applyNumberFormat="1" applyFont="1" applyFill="1" applyAlignment="1">
      <alignment horizontal="right"/>
    </xf>
    <xf numFmtId="38" fontId="66" fillId="39" borderId="0" xfId="0" applyFont="1" applyFill="1"/>
    <xf numFmtId="37" fontId="4" fillId="39" borderId="0" xfId="0" applyNumberFormat="1" applyFont="1" applyFill="1" applyAlignment="1">
      <alignment horizontal="left"/>
    </xf>
    <xf numFmtId="169" fontId="4" fillId="32" borderId="0" xfId="0" applyNumberFormat="1" applyFont="1" applyFill="1" applyAlignment="1">
      <alignment horizontal="left" wrapText="1"/>
    </xf>
    <xf numFmtId="38" fontId="4" fillId="32" borderId="0" xfId="0" applyFont="1" applyFill="1" applyAlignment="1">
      <alignment vertical="center"/>
    </xf>
    <xf numFmtId="38" fontId="4" fillId="32" borderId="24" xfId="0" applyFont="1" applyFill="1" applyBorder="1" applyAlignment="1">
      <alignment vertical="center"/>
    </xf>
    <xf numFmtId="38" fontId="5" fillId="32" borderId="0" xfId="0" applyFont="1" applyFill="1" applyAlignment="1">
      <alignment vertical="center"/>
    </xf>
    <xf numFmtId="37" fontId="5" fillId="32" borderId="10" xfId="0" applyNumberFormat="1" applyFont="1" applyFill="1" applyBorder="1" applyAlignment="1">
      <alignment horizontal="right" vertical="center"/>
    </xf>
    <xf numFmtId="38" fontId="4" fillId="32" borderId="25" xfId="0" applyFont="1" applyFill="1" applyBorder="1" applyAlignment="1">
      <alignment vertical="center"/>
    </xf>
    <xf numFmtId="38" fontId="66" fillId="32" borderId="0" xfId="0" applyFont="1" applyFill="1" applyAlignment="1">
      <alignment vertical="center"/>
    </xf>
    <xf numFmtId="38" fontId="96" fillId="39" borderId="0" xfId="0" applyFont="1" applyFill="1"/>
    <xf numFmtId="37" fontId="5" fillId="32" borderId="11" xfId="0" applyNumberFormat="1" applyFont="1" applyFill="1" applyBorder="1" applyAlignment="1">
      <alignment horizontal="right" vertical="center"/>
    </xf>
    <xf numFmtId="37" fontId="4" fillId="32" borderId="0" xfId="0" applyNumberFormat="1" applyFont="1" applyFill="1"/>
    <xf numFmtId="38" fontId="4" fillId="32" borderId="0" xfId="0" applyFont="1" applyFill="1" applyAlignment="1">
      <alignment horizontal="right"/>
    </xf>
    <xf numFmtId="38" fontId="5" fillId="32" borderId="0" xfId="0" applyFont="1" applyFill="1" applyAlignment="1">
      <alignment vertical="center" wrapText="1"/>
    </xf>
    <xf numFmtId="37" fontId="5" fillId="32" borderId="0" xfId="0" applyNumberFormat="1" applyFont="1" applyFill="1" applyBorder="1" applyAlignment="1">
      <alignment horizontal="right" vertical="center"/>
    </xf>
    <xf numFmtId="0" fontId="13" fillId="0" borderId="0" xfId="3856" applyFont="1" applyAlignment="1">
      <alignment wrapText="1"/>
    </xf>
    <xf numFmtId="0" fontId="10" fillId="0" borderId="0" xfId="3856" applyFont="1" applyAlignment="1">
      <alignment wrapText="1"/>
    </xf>
    <xf numFmtId="38" fontId="98" fillId="0" borderId="0" xfId="3855" applyFont="1" applyFill="1" applyAlignment="1" applyProtection="1">
      <alignment wrapText="1"/>
    </xf>
    <xf numFmtId="38" fontId="99" fillId="0" borderId="0" xfId="0" applyFont="1" applyAlignment="1">
      <alignment wrapText="1"/>
    </xf>
    <xf numFmtId="38" fontId="59" fillId="0" borderId="0" xfId="0" applyFont="1" applyAlignment="1">
      <alignment wrapText="1"/>
    </xf>
    <xf numFmtId="38" fontId="4" fillId="32" borderId="0" xfId="0" applyFont="1" applyFill="1" applyAlignment="1">
      <alignment horizontal="left" wrapText="1"/>
    </xf>
    <xf numFmtId="38" fontId="5" fillId="32" borderId="0" xfId="0" applyFont="1" applyFill="1" applyAlignment="1">
      <alignment vertical="center" wrapText="1"/>
    </xf>
  </cellXfs>
  <cellStyles count="38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5" xfId="13" xr:uid="{00000000-0005-0000-0000-00000C000000}"/>
    <cellStyle name="60% - Accent1 2" xfId="14" xr:uid="{00000000-0005-0000-0000-00000D000000}"/>
    <cellStyle name="60% - Accent2 2" xfId="15" xr:uid="{00000000-0005-0000-0000-00000E000000}"/>
    <cellStyle name="60% - Accent3 2" xfId="16" xr:uid="{00000000-0005-0000-0000-00000F000000}"/>
    <cellStyle name="60% - Accent4 2" xfId="17" xr:uid="{00000000-0005-0000-0000-000010000000}"/>
    <cellStyle name="60% - Accent5 2" xfId="18" xr:uid="{00000000-0005-0000-0000-000011000000}"/>
    <cellStyle name="60% - Accent6 2" xfId="19" xr:uid="{00000000-0005-0000-0000-000012000000}"/>
    <cellStyle name="Accent1 2" xfId="20" xr:uid="{00000000-0005-0000-0000-000013000000}"/>
    <cellStyle name="Accent2 2" xfId="21" xr:uid="{00000000-0005-0000-0000-000014000000}"/>
    <cellStyle name="Accent3 2" xfId="22" xr:uid="{00000000-0005-0000-0000-000015000000}"/>
    <cellStyle name="Accent4 2" xfId="23" xr:uid="{00000000-0005-0000-0000-000016000000}"/>
    <cellStyle name="Accent4 2 2" xfId="281" xr:uid="{4F215D3E-C157-4762-AF29-EA6E241B4689}"/>
    <cellStyle name="Accent4 3" xfId="387" xr:uid="{15647C1C-1BE8-418F-A665-B82F22D63045}"/>
    <cellStyle name="Accent5 2" xfId="24" xr:uid="{00000000-0005-0000-0000-000017000000}"/>
    <cellStyle name="Accent6 2" xfId="25" xr:uid="{00000000-0005-0000-0000-000018000000}"/>
    <cellStyle name="Bad 2" xfId="26" xr:uid="{00000000-0005-0000-0000-000019000000}"/>
    <cellStyle name="Bad 2 2" xfId="343" xr:uid="{AA6C943A-0983-45EC-9B4B-84F80130560F}"/>
    <cellStyle name="Bad 3" xfId="380" xr:uid="{CD109B47-5328-47DA-AFD2-A17BDFF99377}"/>
    <cellStyle name="Bold 11" xfId="184" xr:uid="{9D81F193-1FC0-4969-BA1A-9747F9C96BAD}"/>
    <cellStyle name="Calc#" xfId="27" xr:uid="{00000000-0005-0000-0000-00001A000000}"/>
    <cellStyle name="Calc# 2" xfId="389" xr:uid="{9EAF4BA2-CBCA-499A-8172-DFA9AD7F58DB}"/>
    <cellStyle name="Calc# 3" xfId="290" xr:uid="{05F13C8B-4478-44E2-8106-894CCDEAECAF}"/>
    <cellStyle name="Calc#.##" xfId="28" xr:uid="{00000000-0005-0000-0000-00001B000000}"/>
    <cellStyle name="Calc#.## 2" xfId="390" xr:uid="{4F88ABD8-E222-47B6-B5BF-4A4451D37057}"/>
    <cellStyle name="Calc#.## 3" xfId="291" xr:uid="{97A12A9F-4EEB-45A9-BFFE-151E7C7BF752}"/>
    <cellStyle name="Calc#.##_Forecast PREFU20" xfId="575" xr:uid="{1EB5233A-7AC6-4FD3-B356-46F3B72C29B3}"/>
    <cellStyle name="Calc#_Forecast PREFU20" xfId="574" xr:uid="{0D79A589-1F6C-43C4-A087-03BA90D7D285}"/>
    <cellStyle name="Calc$" xfId="29" xr:uid="{00000000-0005-0000-0000-00001C000000}"/>
    <cellStyle name="Calc$ 2" xfId="30" xr:uid="{00000000-0005-0000-0000-00001D000000}"/>
    <cellStyle name="Calc$#" xfId="31" xr:uid="{00000000-0005-0000-0000-00001E000000}"/>
    <cellStyle name="Calc$# 2" xfId="416" xr:uid="{F3FD506F-8565-4728-AB3D-696B4089EA0A}"/>
    <cellStyle name="Calc$# 3" xfId="292" xr:uid="{5F51E491-9F88-479D-89F5-BF5C82845AC5}"/>
    <cellStyle name="Calc$#.##" xfId="32" xr:uid="{00000000-0005-0000-0000-00001F000000}"/>
    <cellStyle name="Calc$#.## 2" xfId="417" xr:uid="{4D4BE602-DC12-4D64-BCC7-01E43923A7E7}"/>
    <cellStyle name="Calc$#.## 3" xfId="293" xr:uid="{E6A6BFCE-4280-4AA3-A849-BD6BB47EF7E7}"/>
    <cellStyle name="Calc$#.##_Forecast PREFU20" xfId="577" xr:uid="{A190E41A-B3C6-4027-A6D7-33F89F295B80}"/>
    <cellStyle name="Calc$#_Forecast PREFU20" xfId="576" xr:uid="{9EBD40BC-6414-4CD5-AF63-7337D64858FD}"/>
    <cellStyle name="Calc$_HYEFU19 expenses" xfId="447" xr:uid="{DDAF3ABE-2EF2-4EE4-9825-C1A5D449381B}"/>
    <cellStyle name="Calc$m" xfId="33" xr:uid="{00000000-0005-0000-0000-000020000000}"/>
    <cellStyle name="Calc$m 2" xfId="392" xr:uid="{A882B3E8-3F21-401E-94E6-F672A065BA57}"/>
    <cellStyle name="Calc$m 3" xfId="294" xr:uid="{52E7DE5A-B7B6-4654-A868-F29482703311}"/>
    <cellStyle name="Calc$m_Forecast PREFU20" xfId="578" xr:uid="{226CAA6F-C995-41D8-ADC7-2BE2D149157F}"/>
    <cellStyle name="Calc%" xfId="34" xr:uid="{00000000-0005-0000-0000-000021000000}"/>
    <cellStyle name="Calc% 2" xfId="393" xr:uid="{72A72FD9-A337-4C03-A2AC-D121A4EC708D}"/>
    <cellStyle name="Calc% 3" xfId="295" xr:uid="{3FD208D8-81D9-4A82-B098-EA8312560DA0}"/>
    <cellStyle name="Calc%_Forecast PREFU20" xfId="579" xr:uid="{7E20B6C7-A0A3-42CD-B0C3-4F71799DBF63}"/>
    <cellStyle name="CalcDate" xfId="35" xr:uid="{00000000-0005-0000-0000-000022000000}"/>
    <cellStyle name="CalcDate 2" xfId="394" xr:uid="{9E8A3321-B48E-48BB-8A9A-6C2D54CEC5A6}"/>
    <cellStyle name="CalcDate 3" xfId="296" xr:uid="{C7BA1D34-A2E0-476E-B9FE-8DFFE04AD071}"/>
    <cellStyle name="CalcDate_Forecast PREFU20" xfId="580" xr:uid="{410506EE-6DBD-4BE3-A169-3C6BD1DCC50A}"/>
    <cellStyle name="CalcText" xfId="36" xr:uid="{00000000-0005-0000-0000-000023000000}"/>
    <cellStyle name="CalcText 2" xfId="395" xr:uid="{1908B3DE-822D-4628-B0AF-65C05DB7F0F2}"/>
    <cellStyle name="CalcText 3" xfId="297" xr:uid="{6C4D99F9-9468-41F6-8F30-67FCB94D264C}"/>
    <cellStyle name="CalcText_Forecast PREFU20" xfId="581" xr:uid="{F87ACD83-E1DD-4862-BC77-79C407369C06}"/>
    <cellStyle name="Calculation 2" xfId="37" xr:uid="{00000000-0005-0000-0000-000024000000}"/>
    <cellStyle name="Calculation 2 2" xfId="694" xr:uid="{27B4545C-8F35-477D-B290-16D8E5B5AF41}"/>
    <cellStyle name="Calculation 2 2 2" xfId="1317" xr:uid="{6D2F07ED-20A4-43DD-B851-ECD36680A203}"/>
    <cellStyle name="Calculation 2 2 3" xfId="1708" xr:uid="{F86F42BC-7948-4C44-96F4-254A4D5D017A}"/>
    <cellStyle name="Calculation 2 2 4" xfId="2094" xr:uid="{E7139C32-ADBF-481D-BD8B-0AA7970C0EDF}"/>
    <cellStyle name="Calculation 2 2 5" xfId="2480" xr:uid="{C9AED1DB-34D4-49A2-922A-C2BD5B9E5EC9}"/>
    <cellStyle name="Calculation 2 2 6" xfId="2856" xr:uid="{A4738AB7-3805-45A3-B2C4-BBEFB2B295E3}"/>
    <cellStyle name="Calculation 2 2 7" xfId="3223" xr:uid="{915047A6-E287-42F4-B061-A4621FE10974}"/>
    <cellStyle name="Calculation 2 2 8" xfId="3579" xr:uid="{1977069A-B1F2-4FDE-9304-228553228298}"/>
    <cellStyle name="Calculation 2 3" xfId="872" xr:uid="{9DFB0934-98F2-4101-BD1A-CF18531531F3}"/>
    <cellStyle name="Calculation 2 3 2" xfId="1494" xr:uid="{47CE4E49-A08D-4635-A6A2-DD681CC980AF}"/>
    <cellStyle name="Calculation 2 3 3" xfId="1884" xr:uid="{5DE4AA27-B98B-4DA3-90F9-CA69EC9B12E9}"/>
    <cellStyle name="Calculation 2 3 4" xfId="2271" xr:uid="{2D706E5A-CD89-4341-9284-22F59AB9EC27}"/>
    <cellStyle name="Calculation 2 3 5" xfId="2656" xr:uid="{03247C24-B1AA-456E-A6E6-CD1FA0669F35}"/>
    <cellStyle name="Calculation 2 3 6" xfId="3032" xr:uid="{5BF22400-B54F-4FC5-9461-BDA385290589}"/>
    <cellStyle name="Calculation 2 3 7" xfId="3399" xr:uid="{6DAF3835-F0E5-445B-9CB8-15C50C2399B1}"/>
    <cellStyle name="Calculation 2 3 8" xfId="3755" xr:uid="{26A28E6C-6F6E-4F43-A06D-BABA28FA51B4}"/>
    <cellStyle name="Calculation 2 4" xfId="815" xr:uid="{A454B668-0689-42B3-ACF0-1499787CBFEE}"/>
    <cellStyle name="Calculation 2 4 2" xfId="1438" xr:uid="{38EE0D6C-4544-4FB3-9FB6-26C704C34800}"/>
    <cellStyle name="Calculation 2 4 3" xfId="1828" xr:uid="{6742482B-BF6C-4D24-9948-E0A966CD46B8}"/>
    <cellStyle name="Calculation 2 4 4" xfId="2215" xr:uid="{D59CA3CE-2359-48D9-97B1-A6C5ABB5911A}"/>
    <cellStyle name="Calculation 2 4 5" xfId="2600" xr:uid="{630357E8-5910-4884-B973-1265D7CF405C}"/>
    <cellStyle name="Calculation 2 4 6" xfId="2976" xr:uid="{62C46698-C191-4F7A-8088-6B75EF8E27C2}"/>
    <cellStyle name="Calculation 2 4 7" xfId="3343" xr:uid="{5C9D3459-3341-496C-B8CA-1332CFDC3387}"/>
    <cellStyle name="Calculation 2 4 8" xfId="3699" xr:uid="{F8BED8AE-831B-4052-AF3F-3963F12D8EC4}"/>
    <cellStyle name="Calculation 2 5" xfId="857" xr:uid="{043377BD-BB5F-42C2-8843-E318FAA5457A}"/>
    <cellStyle name="Calculation 2 5 2" xfId="1479" xr:uid="{B9E6A1C4-AC97-4C55-AE5F-897C070BE3E6}"/>
    <cellStyle name="Calculation 2 5 3" xfId="1869" xr:uid="{2753F52D-D29D-480D-9C1A-3643925C2B41}"/>
    <cellStyle name="Calculation 2 5 4" xfId="2256" xr:uid="{8303AEA7-2DDD-45C6-BCB3-68F681289DEE}"/>
    <cellStyle name="Calculation 2 5 5" xfId="2641" xr:uid="{49090755-D276-4FC2-B52B-358B3AFAE623}"/>
    <cellStyle name="Calculation 2 5 6" xfId="3017" xr:uid="{2F3162EE-5C0B-45BD-B381-81128E48399E}"/>
    <cellStyle name="Calculation 2 5 7" xfId="3384" xr:uid="{86808260-5758-4FEE-B84A-10C97DDA7200}"/>
    <cellStyle name="Calculation 2 5 8" xfId="3740" xr:uid="{9998B112-DC40-472B-9CF5-B10758F76123}"/>
    <cellStyle name="Calculation 2 6" xfId="633" xr:uid="{6496522D-DA21-4319-A708-B309CD207B96}"/>
    <cellStyle name="Calculation 2 6 2" xfId="1257" xr:uid="{70A1C039-F01D-4018-A701-60D25AA03E97}"/>
    <cellStyle name="Calculation 2 6 3" xfId="1648" xr:uid="{F2BC4EAF-5F0B-461D-A7CA-29A7D2B2BB1D}"/>
    <cellStyle name="Calculation 2 6 4" xfId="2035" xr:uid="{C4790DE4-4428-48D0-870A-A0FF8E284CA1}"/>
    <cellStyle name="Calculation 2 6 5" xfId="2420" xr:uid="{EB445CF0-D2E2-4272-8F78-B7FE9896AC06}"/>
    <cellStyle name="Calculation 2 6 6" xfId="2797" xr:uid="{7F0D019B-B760-489A-99A9-EC81029D1C84}"/>
    <cellStyle name="Calculation 2 6 7" xfId="3163" xr:uid="{AA97E2CF-BD48-49B3-BAA0-10410563FD26}"/>
    <cellStyle name="Calculation 2 6 8" xfId="3520" xr:uid="{3F9B2855-B99D-4C73-A603-A04A59334DC9}"/>
    <cellStyle name="Calculation 2 7" xfId="158" xr:uid="{1109B8BC-AC55-45BB-999A-0794A0E0CB7E}"/>
    <cellStyle name="Calculation 2 8" xfId="1190" xr:uid="{3E37C489-BCAC-4CA4-A75A-F69A9A9B875B}"/>
    <cellStyle name="Calculation 3" xfId="430" xr:uid="{F2DA3D07-2E00-493B-A2FB-C16073D3B7F6}"/>
    <cellStyle name="Calculation 3 10" xfId="1032" xr:uid="{399AFF54-12AF-4E58-83B6-DEE820BF687B}"/>
    <cellStyle name="Calculation 3 11" xfId="141" xr:uid="{984E1D7D-0939-4BDB-83ED-7F59DD4CCC0B}"/>
    <cellStyle name="Calculation 3 12" xfId="1233" xr:uid="{156A7E94-72DB-499B-8465-523185FB3A21}"/>
    <cellStyle name="Calculation 3 13" xfId="2392" xr:uid="{0E3DB029-AA87-4339-9F93-782305C42FED}"/>
    <cellStyle name="Calculation 3 14" xfId="169" xr:uid="{E52FF73B-A285-4ADA-89F5-129F3AFFBAAB}"/>
    <cellStyle name="Calculation 3 15" xfId="3141" xr:uid="{EC52B698-B901-4710-971B-C322FF0718F5}"/>
    <cellStyle name="Calculation 3 2" xfId="755" xr:uid="{7EC7DAE4-44BC-4A28-A417-6D014F2173A7}"/>
    <cellStyle name="Calculation 3 2 2" xfId="1378" xr:uid="{462B7CF1-72BD-4A2B-A0E5-9F8B35A5EA07}"/>
    <cellStyle name="Calculation 3 2 3" xfId="1768" xr:uid="{FE497A1C-A9DD-40FE-9461-BF66DE8D5B2C}"/>
    <cellStyle name="Calculation 3 2 4" xfId="2155" xr:uid="{76219A96-B956-4E2C-96AE-495F6AE70CB2}"/>
    <cellStyle name="Calculation 3 2 5" xfId="2540" xr:uid="{6E798DDE-EE84-40A4-9D3D-1616DCCB1564}"/>
    <cellStyle name="Calculation 3 2 6" xfId="2916" xr:uid="{4E98D2BD-80D7-4881-922E-5E56E418C976}"/>
    <cellStyle name="Calculation 3 2 7" xfId="3283" xr:uid="{DD50B0BF-098B-4C91-BE66-1C3D6D1317F7}"/>
    <cellStyle name="Calculation 3 2 8" xfId="3639" xr:uid="{3BC25F97-A627-4088-A999-EE10A753EE11}"/>
    <cellStyle name="Calculation 3 3" xfId="696" xr:uid="{8F96C3D9-8620-4FD4-AD29-BE6FFE8CB2E1}"/>
    <cellStyle name="Calculation 3 3 2" xfId="1319" xr:uid="{79AF8EA8-46C2-4C40-8563-A3838007F567}"/>
    <cellStyle name="Calculation 3 3 3" xfId="1710" xr:uid="{0A3F447B-B0EC-43C8-A8A8-4525BC9F2A5A}"/>
    <cellStyle name="Calculation 3 3 4" xfId="2096" xr:uid="{B3C7B478-DAA0-4168-A463-F717D875AEB2}"/>
    <cellStyle name="Calculation 3 3 5" xfId="2482" xr:uid="{8CD0E490-4029-41DD-974B-55CD604A9C90}"/>
    <cellStyle name="Calculation 3 3 6" xfId="2858" xr:uid="{67EC4BC6-89F8-42D9-8CCC-86B137024798}"/>
    <cellStyle name="Calculation 3 3 7" xfId="3225" xr:uid="{31A2588A-AF1E-4045-AAD8-6FF6016172E5}"/>
    <cellStyle name="Calculation 3 3 8" xfId="3581" xr:uid="{E1145F5D-386E-470E-81E8-1419B45B99D8}"/>
    <cellStyle name="Calculation 3 4" xfId="754" xr:uid="{3CD5FF42-30BA-49C7-AD66-72031334F9D7}"/>
    <cellStyle name="Calculation 3 4 2" xfId="1377" xr:uid="{668B1F9C-456B-4275-8AA4-39E36C26D046}"/>
    <cellStyle name="Calculation 3 4 3" xfId="1767" xr:uid="{D314F36E-639A-4A03-94B7-085F3FE7D7A5}"/>
    <cellStyle name="Calculation 3 4 4" xfId="2154" xr:uid="{361B8A81-4D08-499C-BE97-29E6EC413663}"/>
    <cellStyle name="Calculation 3 4 5" xfId="2539" xr:uid="{0F54BDC7-1541-450D-A90C-B09AC16DC5FA}"/>
    <cellStyle name="Calculation 3 4 6" xfId="2915" xr:uid="{4DD2F2D9-24F3-4143-93C3-4C67A0093A16}"/>
    <cellStyle name="Calculation 3 4 7" xfId="3282" xr:uid="{15E54433-E3FB-47ED-9118-0775B0458969}"/>
    <cellStyle name="Calculation 3 4 8" xfId="3638" xr:uid="{6EA5E4E6-FBCB-4DA7-8265-8F98195B6DFC}"/>
    <cellStyle name="Calculation 3 5" xfId="853" xr:uid="{11BB7233-FC8D-40FD-B50B-0BBDDA2B5CD0}"/>
    <cellStyle name="Calculation 3 5 2" xfId="1475" xr:uid="{F492164A-58B7-4647-B76A-D401C9032B7F}"/>
    <cellStyle name="Calculation 3 5 3" xfId="1865" xr:uid="{2CD6B6AF-685E-4AD5-A5D0-CE646285D8D5}"/>
    <cellStyle name="Calculation 3 5 4" xfId="2252" xr:uid="{013C88BD-460F-4B4D-A262-7CCA48B79EE9}"/>
    <cellStyle name="Calculation 3 5 5" xfId="2637" xr:uid="{E911A050-9272-48E6-BF3B-EF7D8CD34FCB}"/>
    <cellStyle name="Calculation 3 5 6" xfId="3013" xr:uid="{7F69ACCB-F074-44D4-BEDC-A4BF59D463F2}"/>
    <cellStyle name="Calculation 3 5 7" xfId="3380" xr:uid="{BEBDD769-357D-429F-8239-215E6B2F934B}"/>
    <cellStyle name="Calculation 3 5 8" xfId="3736" xr:uid="{937D3AD4-00E6-47E0-BD81-BF8266DAA6C4}"/>
    <cellStyle name="Calculation 3 6" xfId="359" xr:uid="{BC82E6B6-6767-45A6-9F88-F4AF6828E858}"/>
    <cellStyle name="Calculation 3 6 2" xfId="1074" xr:uid="{F47EE594-C330-474A-9B1B-2DDB11832D4E}"/>
    <cellStyle name="Calculation 3 6 3" xfId="1119" xr:uid="{FE513EB0-6210-4050-8299-8B48201864E7}"/>
    <cellStyle name="Calculation 3 6 4" xfId="1034" xr:uid="{5AE99089-9CF0-466D-932E-89A2F3C94AFF}"/>
    <cellStyle name="Calculation 3 6 5" xfId="1113" xr:uid="{C052CB2D-1F51-4224-920B-3110AC4060DC}"/>
    <cellStyle name="Calculation 3 6 6" xfId="438" xr:uid="{1371A0EA-5158-41D5-8B2C-E52AEB7ABB56}"/>
    <cellStyle name="Calculation 3 6 7" xfId="161" xr:uid="{F4CE7F54-9E53-4ACD-99DA-1B975E8BA226}"/>
    <cellStyle name="Calculation 3 6 8" xfId="1099" xr:uid="{8E9BDBC1-989D-4E22-8726-4886F98C3C3F}"/>
    <cellStyle name="Calculation 3 7" xfId="672" xr:uid="{6E912106-EECD-4380-B32A-B5288C47449B}"/>
    <cellStyle name="Calculation 3 7 2" xfId="1296" xr:uid="{C9138D11-672B-459D-BE6E-C8D03B335404}"/>
    <cellStyle name="Calculation 3 7 3" xfId="1687" xr:uid="{03DCB526-E0AF-442D-8EEC-F8D448552324}"/>
    <cellStyle name="Calculation 3 7 4" xfId="2073" xr:uid="{68E80E69-6B12-47D7-BDF6-11898BB6F5D9}"/>
    <cellStyle name="Calculation 3 7 5" xfId="2459" xr:uid="{39B8973D-C94D-4C18-8773-553634051D5A}"/>
    <cellStyle name="Calculation 3 7 6" xfId="2835" xr:uid="{F8413CFB-3064-4F90-80BF-AF7B0471E770}"/>
    <cellStyle name="Calculation 3 7 7" xfId="3202" xr:uid="{D48312EA-22F6-4C0E-A7B9-5D5B6F7EAD40}"/>
    <cellStyle name="Calculation 3 7 8" xfId="3558" xr:uid="{E936F133-9196-4D7B-9E9A-86430D7AB52C}"/>
    <cellStyle name="Calculation 3 8" xfId="720" xr:uid="{649602A9-2CDD-4CFE-B552-D6EC455594D6}"/>
    <cellStyle name="Calculation 3 8 2" xfId="1343" xr:uid="{88AA85E1-EB66-40CB-B808-E6CFD03A2B1F}"/>
    <cellStyle name="Calculation 3 8 3" xfId="1734" xr:uid="{2CF70BC0-B6DD-447E-991D-060F421C64AD}"/>
    <cellStyle name="Calculation 3 8 4" xfId="2120" xr:uid="{232C2A72-02AF-43A2-A489-8CBF876CCAE0}"/>
    <cellStyle name="Calculation 3 8 5" xfId="2506" xr:uid="{ED571BC1-DD3E-4FA6-A8EE-FFB870E7B4AA}"/>
    <cellStyle name="Calculation 3 8 6" xfId="2882" xr:uid="{907ED907-58CF-4845-B848-0C1791891353}"/>
    <cellStyle name="Calculation 3 8 7" xfId="3249" xr:uid="{846083BE-A696-4A25-963B-4D5B303AD3E0}"/>
    <cellStyle name="Calculation 3 8 8" xfId="3605" xr:uid="{F89D8B37-6822-44CA-A30B-64757A0C5F83}"/>
    <cellStyle name="Calculation 3 9" xfId="1125" xr:uid="{E77DBD77-AFA5-4839-9BA3-0ED71DA3FD44}"/>
    <cellStyle name="Calculation 4" xfId="435" xr:uid="{6FC176FA-6886-46DC-B14A-04E6ADB276C6}"/>
    <cellStyle name="Calculation 4 10" xfId="174" xr:uid="{E9E2BA3E-E814-48F0-8D7A-FD3683C61E0A}"/>
    <cellStyle name="Calculation 4 11" xfId="1192" xr:uid="{E4116317-E3EF-46BA-8CF9-67E01A6BBC06}"/>
    <cellStyle name="Calculation 4 12" xfId="1202" xr:uid="{01A12CAE-6890-4A44-B1AD-B8DC31BE453D}"/>
    <cellStyle name="Calculation 4 13" xfId="990" xr:uid="{1B08E75D-19C3-4799-A6FB-F9ED138542C7}"/>
    <cellStyle name="Calculation 4 14" xfId="1226" xr:uid="{89D4E67F-0C0F-4D9D-B937-393C3D4A329F}"/>
    <cellStyle name="Calculation 4 15" xfId="991" xr:uid="{DA1FC8EF-A3AC-4EC1-A562-BD24D17984FF}"/>
    <cellStyle name="Calculation 4 2" xfId="760" xr:uid="{E08ECD48-90C7-47F0-86C7-D5E31D92DBD3}"/>
    <cellStyle name="Calculation 4 2 2" xfId="1383" xr:uid="{A92C38B7-820B-4ACA-82E9-B7432CE3671A}"/>
    <cellStyle name="Calculation 4 2 3" xfId="1773" xr:uid="{3139D951-6633-46A5-A058-62E9ADAA2FB8}"/>
    <cellStyle name="Calculation 4 2 4" xfId="2160" xr:uid="{294E8697-EFE5-417D-93B8-ADD6A2755C43}"/>
    <cellStyle name="Calculation 4 2 5" xfId="2545" xr:uid="{F041EA50-5898-4072-B252-8F49570A6EF0}"/>
    <cellStyle name="Calculation 4 2 6" xfId="2921" xr:uid="{62A95B48-D345-4128-97CD-C279CDC45968}"/>
    <cellStyle name="Calculation 4 2 7" xfId="3288" xr:uid="{E0BB902F-D61A-4AE2-998E-6581F06693A6}"/>
    <cellStyle name="Calculation 4 2 8" xfId="3644" xr:uid="{FF9D59E7-6540-4B68-BEC1-67C44619D5E0}"/>
    <cellStyle name="Calculation 4 3" xfId="761" xr:uid="{C38BA299-63AE-4E11-9FDC-6FE53F9AE3CD}"/>
    <cellStyle name="Calculation 4 3 2" xfId="1384" xr:uid="{9D6E0234-0999-43E0-BB30-D263FB8D2BE2}"/>
    <cellStyle name="Calculation 4 3 3" xfId="1774" xr:uid="{7567CA8D-99ED-43AD-981F-A9368DA459ED}"/>
    <cellStyle name="Calculation 4 3 4" xfId="2161" xr:uid="{6700172F-33B7-411A-BEBA-F7D1D483E49B}"/>
    <cellStyle name="Calculation 4 3 5" xfId="2546" xr:uid="{A8BE5175-0A56-4984-A7AE-D2E47CCFA5A4}"/>
    <cellStyle name="Calculation 4 3 6" xfId="2922" xr:uid="{9C3E09A6-6BB5-4E55-A752-673DBED296AF}"/>
    <cellStyle name="Calculation 4 3 7" xfId="3289" xr:uid="{B632523D-D44E-4D27-9051-BA47DCD38921}"/>
    <cellStyle name="Calculation 4 3 8" xfId="3645" xr:uid="{AC5FDEB0-C72B-4879-80B8-F7961C75C8B3}"/>
    <cellStyle name="Calculation 4 4" xfId="679" xr:uid="{EE55F58D-B15D-4D31-9704-608D778895D1}"/>
    <cellStyle name="Calculation 4 4 2" xfId="1303" xr:uid="{0B851B6B-AF61-48D2-B2EC-BF4620C02D07}"/>
    <cellStyle name="Calculation 4 4 3" xfId="1694" xr:uid="{18979D5D-11EA-4BD2-AF7C-5DBB193D500E}"/>
    <cellStyle name="Calculation 4 4 4" xfId="2080" xr:uid="{DC3CEC63-E50B-4876-A158-27F050733F24}"/>
    <cellStyle name="Calculation 4 4 5" xfId="2466" xr:uid="{D58D16B4-30FB-4188-B3D8-4512C92D8538}"/>
    <cellStyle name="Calculation 4 4 6" xfId="2842" xr:uid="{CC75273C-228A-4F7D-9A53-18A54C933912}"/>
    <cellStyle name="Calculation 4 4 7" xfId="3209" xr:uid="{CB58C736-3BF2-4D08-ABAD-75AACC878799}"/>
    <cellStyle name="Calculation 4 4 8" xfId="3565" xr:uid="{7FA13DC2-E6DB-4A06-870B-FE0282961312}"/>
    <cellStyle name="Calculation 4 5" xfId="875" xr:uid="{65A64CB0-E5C2-4393-A03F-E026D88F5C9F}"/>
    <cellStyle name="Calculation 4 5 2" xfId="1497" xr:uid="{D3B04428-653E-4F6C-9A7F-34AB343F393E}"/>
    <cellStyle name="Calculation 4 5 3" xfId="1887" xr:uid="{4815157A-886D-4DFE-965D-6BB022802CAF}"/>
    <cellStyle name="Calculation 4 5 4" xfId="2274" xr:uid="{D80761C4-3019-4790-8BFA-63C5680611F8}"/>
    <cellStyle name="Calculation 4 5 5" xfId="2659" xr:uid="{B6A26B4B-670E-40E1-BCD0-559C14FB3C4A}"/>
    <cellStyle name="Calculation 4 5 6" xfId="3035" xr:uid="{B258C792-B97C-4AC8-B095-2A3270607A61}"/>
    <cellStyle name="Calculation 4 5 7" xfId="3402" xr:uid="{66E08D3C-D212-4286-933D-C76C22920128}"/>
    <cellStyle name="Calculation 4 5 8" xfId="3758" xr:uid="{E65CAEF2-7E0E-47D1-A8AE-20973C93B243}"/>
    <cellStyle name="Calculation 4 6" xfId="920" xr:uid="{C27DF624-D750-466F-B69C-D4A2D9DB3162}"/>
    <cellStyle name="Calculation 4 6 2" xfId="1541" xr:uid="{CC9A225E-A2CE-43CF-902A-C30ECF4CAF74}"/>
    <cellStyle name="Calculation 4 6 3" xfId="1932" xr:uid="{7B128598-870E-41DE-A9C1-DFEF1E9B2A9E}"/>
    <cellStyle name="Calculation 4 6 4" xfId="2318" xr:uid="{892CA8DA-6ECD-4F75-9933-E9874A3FFC4E}"/>
    <cellStyle name="Calculation 4 6 5" xfId="2704" xr:uid="{16E7AEC9-19A9-4846-B017-A95631CD21C6}"/>
    <cellStyle name="Calculation 4 6 6" xfId="3079" xr:uid="{B6E78BB2-6F25-4DFD-9616-DF6F8FD9D89B}"/>
    <cellStyle name="Calculation 4 6 7" xfId="3446" xr:uid="{9566D8D0-0A8F-44AB-B1E4-66009BEE4411}"/>
    <cellStyle name="Calculation 4 6 8" xfId="3801" xr:uid="{48AD6C55-356A-4705-9B21-EAB9774BC4FF}"/>
    <cellStyle name="Calculation 4 7" xfId="910" xr:uid="{F0886DE6-001E-4B40-9A42-BA4E6A3FD477}"/>
    <cellStyle name="Calculation 4 7 2" xfId="1531" xr:uid="{85DFF7A8-5559-442F-90A7-CB48F7725CAB}"/>
    <cellStyle name="Calculation 4 7 3" xfId="1922" xr:uid="{9C5AEB80-CFEE-4FE9-9094-69725C8459DC}"/>
    <cellStyle name="Calculation 4 7 4" xfId="2308" xr:uid="{0511BDA3-C95A-44A4-A80A-CA123A6D6048}"/>
    <cellStyle name="Calculation 4 7 5" xfId="2694" xr:uid="{64152D9B-BFBD-4DC2-97A7-9315E41C86E2}"/>
    <cellStyle name="Calculation 4 7 6" xfId="3069" xr:uid="{6BDE72B8-3BF9-400F-9174-9164C1704102}"/>
    <cellStyle name="Calculation 4 7 7" xfId="3436" xr:uid="{73B14781-83AE-4D57-B96F-5A14B26BD546}"/>
    <cellStyle name="Calculation 4 7 8" xfId="3792" xr:uid="{48FF3F69-AB0D-4A17-BCCA-C1F33810AC96}"/>
    <cellStyle name="Calculation 4 8" xfId="935" xr:uid="{C2B5F1CA-C881-47E1-A2BA-54C54A5D89C4}"/>
    <cellStyle name="Calculation 4 8 2" xfId="1556" xr:uid="{49D129A7-7AD6-4CD9-A004-2A7F1162878D}"/>
    <cellStyle name="Calculation 4 8 3" xfId="1947" xr:uid="{86A9F2A8-9B59-4DEC-A0D9-44D35B23C193}"/>
    <cellStyle name="Calculation 4 8 4" xfId="2333" xr:uid="{4DB5590F-CCCA-4495-9A3D-40BA951E95E3}"/>
    <cellStyle name="Calculation 4 8 5" xfId="2719" xr:uid="{BE0949B8-BDDF-447A-93C2-332594EB85E3}"/>
    <cellStyle name="Calculation 4 8 6" xfId="3094" xr:uid="{CB8D61A6-1F76-4C51-9A8E-45B4CC16548C}"/>
    <cellStyle name="Calculation 4 8 7" xfId="3461" xr:uid="{0CC3D7C6-1678-41C7-B062-1323168972D8}"/>
    <cellStyle name="Calculation 4 8 8" xfId="3816" xr:uid="{D5C2326B-FCFD-407D-B84D-B6FCA8D1E229}"/>
    <cellStyle name="Calculation 4 9" xfId="1129" xr:uid="{FF3727CA-CAD3-4163-8AF4-210C407FDF6B}"/>
    <cellStyle name="Check Cell 2" xfId="38" xr:uid="{00000000-0005-0000-0000-000025000000}"/>
    <cellStyle name="Comma 10" xfId="238" xr:uid="{F2454A42-0D85-4C36-A3A7-FFBBB8C82BF0}"/>
    <cellStyle name="Comma 11" xfId="240" xr:uid="{B57B01A0-5BDA-41A1-9D4D-480C1AC8B5B0}"/>
    <cellStyle name="Comma 12" xfId="242" xr:uid="{C97AF12C-2611-4CE5-B7DE-2B09CC9C5DD2}"/>
    <cellStyle name="Comma 13" xfId="268" xr:uid="{9E6351C6-ED34-40F8-9057-25D99AF98FA5}"/>
    <cellStyle name="Comma 14" xfId="271" xr:uid="{5A0DF011-EBB4-4287-8DA8-58D463BF1437}"/>
    <cellStyle name="Comma 15" xfId="274" xr:uid="{FE920E94-9F18-4200-BBD8-42C4FC6D6985}"/>
    <cellStyle name="Comma 16" xfId="279" xr:uid="{6B3A8CF7-4FAA-4C21-8F8E-416CD98AD11C}"/>
    <cellStyle name="Comma 17" xfId="368" xr:uid="{8184683E-60AD-45AD-8D1A-C1A63B25003E}"/>
    <cellStyle name="Comma 18" xfId="185" xr:uid="{57C7C957-C8B6-4101-8635-831CE6A8674D}"/>
    <cellStyle name="Comma 2" xfId="39" xr:uid="{00000000-0005-0000-0000-000027000000}"/>
    <cellStyle name="Comma 2 2" xfId="40" xr:uid="{00000000-0005-0000-0000-000028000000}"/>
    <cellStyle name="Comma 3" xfId="41" xr:uid="{00000000-0005-0000-0000-000029000000}"/>
    <cellStyle name="Comma 3 2" xfId="42" xr:uid="{00000000-0005-0000-0000-00002A000000}"/>
    <cellStyle name="Comma 3 3" xfId="218" xr:uid="{47985738-B187-403C-A468-BDA579990745}"/>
    <cellStyle name="Comma 4" xfId="219" xr:uid="{1FDA7E88-1497-484B-8F17-7A874CA84A41}"/>
    <cellStyle name="Comma 5" xfId="220" xr:uid="{EAEE3C90-B6B2-4E24-94CD-FD59A1FF1752}"/>
    <cellStyle name="Comma 6" xfId="225" xr:uid="{87732B16-0380-487F-8C0B-0EAAFEB0D345}"/>
    <cellStyle name="Comma 7" xfId="227" xr:uid="{C017C813-BC35-40C7-8101-5D326A5EACF2}"/>
    <cellStyle name="Comma 8" xfId="233" xr:uid="{7E71646C-B303-4FED-B86D-73D87C62E1D6}"/>
    <cellStyle name="Comma 9" xfId="235" xr:uid="{144E9E67-8077-4BA5-86AC-267A5829BCD4}"/>
    <cellStyle name="Currency 2" xfId="275" xr:uid="{38760E39-710A-422F-A5DD-53E9BBE1A3D9}"/>
    <cellStyle name="Date" xfId="43" xr:uid="{00000000-0005-0000-0000-00002B000000}"/>
    <cellStyle name="Date 2" xfId="243" xr:uid="{F05369A1-ECFA-42C0-9C3B-F55C797B3164}"/>
    <cellStyle name="Date 3" xfId="244" xr:uid="{93DA8D7A-4E14-4106-B339-73BAADD4550C}"/>
    <cellStyle name="Decimal 1" xfId="186" xr:uid="{C98A0B78-B9BD-42FD-99D1-673731328C07}"/>
    <cellStyle name="Decimal 2" xfId="187" xr:uid="{D27E3E5D-BD15-44C3-9B96-34ED61F771CA}"/>
    <cellStyle name="Decimal 3" xfId="188" xr:uid="{9BC59F19-DEE2-4C23-8DAC-2B4445562BED}"/>
    <cellStyle name="Decimal 3 2" xfId="245" xr:uid="{F2576528-2A4D-4ABA-B815-DBA2AE2E0415}"/>
    <cellStyle name="Decimal 3 3" xfId="246" xr:uid="{D37BA165-35EC-4004-BA9D-F71BFE1FDE44}"/>
    <cellStyle name="Description" xfId="357" xr:uid="{DFE5BBAD-BDC6-4220-ABD7-7BF91EF83A6D}"/>
    <cellStyle name="Description 2" xfId="708" xr:uid="{59280136-B4F7-4647-B0D3-B3E36E4CAA77}"/>
    <cellStyle name="Description 2 2" xfId="1331" xr:uid="{0114C604-3DC1-4C09-90E9-9236E017538F}"/>
    <cellStyle name="Description 2 3" xfId="1722" xr:uid="{FFACE146-6D71-43B5-9D37-0BFC1B39F152}"/>
    <cellStyle name="Description 2 4" xfId="2108" xr:uid="{5F71ABDF-F2A8-42C4-BD7D-8915711DCC60}"/>
    <cellStyle name="Description 2 5" xfId="2494" xr:uid="{9DE8A284-1419-49FB-A235-0365638AA954}"/>
    <cellStyle name="Description 2 6" xfId="2870" xr:uid="{863C3987-FA4C-40BE-989C-0E612EB5B236}"/>
    <cellStyle name="Description 2 7" xfId="3237" xr:uid="{68CD3EB3-DEFA-4C4E-AC16-894F950D86EA}"/>
    <cellStyle name="Description 2 8" xfId="3593" xr:uid="{C4346792-D07E-4253-820D-7E8E48ACB8CC}"/>
    <cellStyle name="Description 3" xfId="659" xr:uid="{5A977717-4EF5-45B2-916A-EE3E5EE808B9}"/>
    <cellStyle name="Description 3 2" xfId="1283" xr:uid="{D39DB9F3-B8DA-4C70-A660-AD85F2F6D0CD}"/>
    <cellStyle name="Description 3 3" xfId="1674" xr:uid="{771A4312-9300-487D-B0EE-7452AE09815C}"/>
    <cellStyle name="Description 3 4" xfId="2060" xr:uid="{DA9A411B-0C5C-47D0-9E52-F42A89AB150F}"/>
    <cellStyle name="Description 3 5" xfId="2446" xr:uid="{0A6B39B1-6465-4893-9BAD-B68AD2C3CDDF}"/>
    <cellStyle name="Description 3 6" xfId="2822" xr:uid="{3C99A334-E3B0-403B-968C-A616262E3B98}"/>
    <cellStyle name="Description 3 7" xfId="3189" xr:uid="{C589D4F0-A14D-41FE-B12B-DB3A9427D364}"/>
    <cellStyle name="Description 3 8" xfId="3545" xr:uid="{28ABC64F-8490-4CFE-A088-FE355140400E}"/>
    <cellStyle name="Description 4" xfId="773" xr:uid="{7D0F9CC8-336E-4AC9-8BDB-DB70D1C610AD}"/>
    <cellStyle name="Description 4 2" xfId="1396" xr:uid="{A08BC3D8-65E1-4E4B-B456-1AA2F7C90A7C}"/>
    <cellStyle name="Description 4 3" xfId="1786" xr:uid="{E7CF2C99-C450-4A71-9040-7FCA3EB4B728}"/>
    <cellStyle name="Description 4 4" xfId="2173" xr:uid="{9A44613E-9F61-48DA-9EF8-73D5F14A690C}"/>
    <cellStyle name="Description 4 5" xfId="2558" xr:uid="{C1D28FCF-7C31-44DB-81E8-0CAC4335C0EB}"/>
    <cellStyle name="Description 4 6" xfId="2934" xr:uid="{B198B93B-6FE7-4A7B-A6B3-3A896A49C68A}"/>
    <cellStyle name="Description 4 7" xfId="3301" xr:uid="{A8456780-DB11-4DB0-811E-E46880735D1C}"/>
    <cellStyle name="Description 4 8" xfId="3657" xr:uid="{151E9541-9C22-4A3F-AA8A-92A317E7B70C}"/>
    <cellStyle name="Description 5" xfId="647" xr:uid="{E94414EA-9862-4343-BC36-4FFCB9FC312C}"/>
    <cellStyle name="Description 5 2" xfId="1271" xr:uid="{93507791-0286-4FC9-89A5-9D81BAA75FAF}"/>
    <cellStyle name="Description 5 3" xfId="1662" xr:uid="{83140D58-5CF8-4A8D-8EC4-968060E3037D}"/>
    <cellStyle name="Description 5 4" xfId="2048" xr:uid="{DB7BA10D-C011-41F9-8347-87BB15593B1D}"/>
    <cellStyle name="Description 5 5" xfId="2434" xr:uid="{C702CE87-6CED-446C-ADBD-2E2144ACC670}"/>
    <cellStyle name="Description 5 6" xfId="2810" xr:uid="{283EA0E5-895E-4E52-AAF2-0B8420F3EACC}"/>
    <cellStyle name="Description 5 7" xfId="3177" xr:uid="{C46AF1FE-8CE0-4022-97D6-D449EEF290FD}"/>
    <cellStyle name="Description 5 8" xfId="3533" xr:uid="{21656058-AC82-43AF-9A17-36A399EFEE28}"/>
    <cellStyle name="Description 6" xfId="712" xr:uid="{664A9E5A-5336-40E2-BF9A-4D3EC2590CD2}"/>
    <cellStyle name="Description 6 2" xfId="1335" xr:uid="{AD4293D6-1ECD-4209-84BF-7C2B712E806F}"/>
    <cellStyle name="Description 6 3" xfId="1726" xr:uid="{94215D6F-9277-4171-8DA0-A79F8522C2E1}"/>
    <cellStyle name="Description 6 4" xfId="2112" xr:uid="{61043C25-B55B-405C-966E-63B337AAD4BF}"/>
    <cellStyle name="Description 6 5" xfId="2498" xr:uid="{F7ACDF78-8F87-4336-B614-A2AA7084BAAF}"/>
    <cellStyle name="Description 6 6" xfId="2874" xr:uid="{66D65751-85A6-43A7-94AC-464AA56EED81}"/>
    <cellStyle name="Description 6 7" xfId="3241" xr:uid="{036ADB93-F4A4-46A4-9823-EE2362A9F6E6}"/>
    <cellStyle name="Description 6 8" xfId="3597" xr:uid="{D45A92E5-FF83-4438-BB07-DFDE018E2AE7}"/>
    <cellStyle name="Description 7" xfId="839" xr:uid="{B06DFBDA-A2D7-4D62-90D3-A3B41C1D0C85}"/>
    <cellStyle name="Description 7 2" xfId="1461" xr:uid="{0FD75005-A922-4487-8162-AFC688599622}"/>
    <cellStyle name="Description 7 3" xfId="1851" xr:uid="{46DB9174-EC85-4554-B63B-94F262C26379}"/>
    <cellStyle name="Description 7 4" xfId="2238" xr:uid="{EBFB2941-C11F-4982-B9BA-6524B98EFF7D}"/>
    <cellStyle name="Description 7 5" xfId="2623" xr:uid="{CD7761F8-18AD-4FBC-AA18-11F83A766270}"/>
    <cellStyle name="Description 7 6" xfId="2999" xr:uid="{5B42D65D-BB24-439D-8F28-33D81357EFAF}"/>
    <cellStyle name="Description 7 7" xfId="3366" xr:uid="{DE8F3FC4-A81B-4107-9557-6B1D700D6A1D}"/>
    <cellStyle name="Description 7 8" xfId="3722" xr:uid="{090D3C50-53C8-4816-B328-86786CEF473F}"/>
    <cellStyle name="Description 8" xfId="873" xr:uid="{3713ECB6-066A-4C79-9CF0-DD02F061E320}"/>
    <cellStyle name="Description 8 2" xfId="1495" xr:uid="{CC27B2C3-1481-4D99-8E35-0A45E81DE6D5}"/>
    <cellStyle name="Description 8 3" xfId="1885" xr:uid="{A1349692-4332-4BE3-B953-0CEA8DFC0DE0}"/>
    <cellStyle name="Description 8 4" xfId="2272" xr:uid="{AC511575-0142-43A1-B06E-940FDC4F79B8}"/>
    <cellStyle name="Description 8 5" xfId="2657" xr:uid="{DB03B395-1EFE-4961-ACD6-B1BDA4DBB575}"/>
    <cellStyle name="Description 8 6" xfId="3033" xr:uid="{82679A39-C008-4E24-A458-783BCCD264B3}"/>
    <cellStyle name="Description 8 7" xfId="3400" xr:uid="{090AADAB-6548-4426-890B-ECB326F7EAE2}"/>
    <cellStyle name="Description 8 8" xfId="3756" xr:uid="{D0E6F91F-4308-4642-9320-9E440FC9A63D}"/>
    <cellStyle name="Deviant" xfId="44" xr:uid="{00000000-0005-0000-0000-00002C000000}"/>
    <cellStyle name="Deviant 2" xfId="396" xr:uid="{F17BCE29-6E23-4622-884A-D16DF174492B}"/>
    <cellStyle name="Deviant 3" xfId="298" xr:uid="{7B7B7102-4973-4589-8899-6F42715F4623}"/>
    <cellStyle name="Deviant_Forecast PREFU20" xfId="582" xr:uid="{574DAF2B-D48C-4BCC-9C4C-58A6FEFEA7EB}"/>
    <cellStyle name="ErrorCheck" xfId="45" xr:uid="{00000000-0005-0000-0000-00002D000000}"/>
    <cellStyle name="ErrorCheck 2" xfId="397" xr:uid="{C7A276C2-BA20-49DC-91E7-BBC4E9E0EC62}"/>
    <cellStyle name="ErrorCheck 3" xfId="299" xr:uid="{6F8527B5-6ED5-45E7-9255-CFF48AAE0522}"/>
    <cellStyle name="ErrorCheck_Forecast PREFU20" xfId="583" xr:uid="{577C97BD-4AEB-4888-AAE6-9ABDDBDE1EA8}"/>
    <cellStyle name="Euro" xfId="231" xr:uid="{DA27113D-7DBF-4164-9EF9-D6870DDE128C}"/>
    <cellStyle name="Explanatory Text 2" xfId="46" xr:uid="{00000000-0005-0000-0000-00002E000000}"/>
    <cellStyle name="Explanatory Text 2 2" xfId="345" xr:uid="{59296179-2816-4C55-BCF2-26A89F82DC87}"/>
    <cellStyle name="Explanatory Text 3" xfId="47" xr:uid="{00000000-0005-0000-0000-00002F000000}"/>
    <cellStyle name="Explanatory Text 4" xfId="48" xr:uid="{00000000-0005-0000-0000-000030000000}"/>
    <cellStyle name="From#" xfId="49" xr:uid="{00000000-0005-0000-0000-000031000000}"/>
    <cellStyle name="From# 2" xfId="398" xr:uid="{6C17EEE3-4786-4151-8E4C-F6953E8B1AC9}"/>
    <cellStyle name="From# 3" xfId="300" xr:uid="{B4D1F48B-4A81-42AE-BC2E-41CE7F59DF20}"/>
    <cellStyle name="From#.##" xfId="50" xr:uid="{00000000-0005-0000-0000-000032000000}"/>
    <cellStyle name="From#.## 2" xfId="399" xr:uid="{B6A3C692-F503-484B-BE4A-4AD2D7450948}"/>
    <cellStyle name="From#.## 3" xfId="301" xr:uid="{88B68EF5-FB3C-46F8-8353-F7B9955AB407}"/>
    <cellStyle name="From#.##_Forecast PREFU20" xfId="585" xr:uid="{3B87E835-0DA2-4C8D-8476-EF74C50AF8F6}"/>
    <cellStyle name="From#_Forecast PREFU20" xfId="584" xr:uid="{BAB1B1CC-9D3A-4974-8935-06117C312B30}"/>
    <cellStyle name="From$" xfId="51" xr:uid="{00000000-0005-0000-0000-000033000000}"/>
    <cellStyle name="From$#" xfId="52" xr:uid="{00000000-0005-0000-0000-000034000000}"/>
    <cellStyle name="From$# 2" xfId="418" xr:uid="{9C3D8BE5-DE57-4653-8766-9EA2A783DAD4}"/>
    <cellStyle name="From$# 3" xfId="302" xr:uid="{8A27DF45-2336-4DF1-9569-DC00ECFC2468}"/>
    <cellStyle name="From$#.##" xfId="53" xr:uid="{00000000-0005-0000-0000-000035000000}"/>
    <cellStyle name="From$#.## 2" xfId="419" xr:uid="{21D15938-EA6D-4CEF-952B-FB00F5A751DF}"/>
    <cellStyle name="From$#.## 3" xfId="303" xr:uid="{C8B30109-F4B0-4CFB-A7F9-100E26212E62}"/>
    <cellStyle name="From$#.##_Forecast PREFU20" xfId="587" xr:uid="{9AAD032A-3555-4DD6-B79F-4682E0F9422A}"/>
    <cellStyle name="From$#_Forecast PREFU20" xfId="586" xr:uid="{135D1A39-D12B-4CC3-A269-0CAA3D7390EB}"/>
    <cellStyle name="From$m" xfId="54" xr:uid="{00000000-0005-0000-0000-000036000000}"/>
    <cellStyle name="From$m 2" xfId="400" xr:uid="{1380BDCF-BCAE-48F6-8F66-79EC7222B100}"/>
    <cellStyle name="From$m 3" xfId="304" xr:uid="{C597585F-B9EB-4FF6-80BF-1B1378963FC3}"/>
    <cellStyle name="From$m_Forecast PREFU20" xfId="588" xr:uid="{C545FDC0-3E33-4474-B70E-C462476ED42B}"/>
    <cellStyle name="From%" xfId="55" xr:uid="{00000000-0005-0000-0000-000037000000}"/>
    <cellStyle name="From% 2" xfId="401" xr:uid="{D93C8C61-BF96-42C7-9274-A51F9AA7203A}"/>
    <cellStyle name="From% 3" xfId="305" xr:uid="{D63C3EEF-62AC-4EFA-84E6-608ABE75F469}"/>
    <cellStyle name="From%_Forecast PREFU20" xfId="589" xr:uid="{AB52B724-52C0-46D8-8221-0421ADDFB602}"/>
    <cellStyle name="FromDate" xfId="56" xr:uid="{00000000-0005-0000-0000-000038000000}"/>
    <cellStyle name="FromDate 2" xfId="373" xr:uid="{F8AC1479-3869-4335-BEFB-B8BE01322583}"/>
    <cellStyle name="FromDate 3" xfId="306" xr:uid="{F30A240B-DE68-41C8-AD51-59BB50436C14}"/>
    <cellStyle name="FromDate_Forecast PREFU20" xfId="590" xr:uid="{6D4AE869-34FF-419E-8885-56D577851534}"/>
    <cellStyle name="FromText" xfId="57" xr:uid="{00000000-0005-0000-0000-000039000000}"/>
    <cellStyle name="FromText 2" xfId="402" xr:uid="{3A5EFE6D-341E-484A-8F12-D23401DB1A22}"/>
    <cellStyle name="FromText 3" xfId="307" xr:uid="{1330237B-9A7B-4300-B9C0-F606E9CC8EDF}"/>
    <cellStyle name="FromText_Forecast PREFU20" xfId="591" xr:uid="{F78AEA87-ADFE-422D-BF57-C7AE8C418DDB}"/>
    <cellStyle name="Good 2" xfId="58" xr:uid="{00000000-0005-0000-0000-00003A000000}"/>
    <cellStyle name="Good 2 2" xfId="282" xr:uid="{7DAD47EE-B0B1-4D31-88AE-D859ABA38BB6}"/>
    <cellStyle name="Good 3" xfId="379" xr:uid="{A008F683-63FC-4086-8889-D5E32299F614}"/>
    <cellStyle name="Header" xfId="59" xr:uid="{00000000-0005-0000-0000-00003B000000}"/>
    <cellStyle name="Header 10" xfId="690" xr:uid="{EAADD1DB-0CD1-4EE5-BCD3-2A7F73B14B08}"/>
    <cellStyle name="Header 10 2" xfId="1313" xr:uid="{E0836498-A408-4E98-807D-DC71A6668258}"/>
    <cellStyle name="Header 10 3" xfId="1704" xr:uid="{327B0963-4F35-41C9-BF97-4520B6E3F992}"/>
    <cellStyle name="Header 10 4" xfId="2090" xr:uid="{5C5869A4-15E4-4568-8883-C97DE3EA5102}"/>
    <cellStyle name="Header 10 5" xfId="2476" xr:uid="{20DCE247-9783-41AC-A037-B83A29C53817}"/>
    <cellStyle name="Header 10 6" xfId="2852" xr:uid="{72A17F90-3C84-48E5-A417-E3A2686158A5}"/>
    <cellStyle name="Header 10 7" xfId="3219" xr:uid="{EE16ACD3-08FF-4D5C-AC44-16E81A8B6696}"/>
    <cellStyle name="Header 10 8" xfId="3575" xr:uid="{0C8AE9D3-85D6-4792-BE3B-EA4ACF910D78}"/>
    <cellStyle name="Header 11" xfId="953" xr:uid="{25A230D3-BB4E-4341-B6AA-033439DA7158}"/>
    <cellStyle name="Header 11 2" xfId="1574" xr:uid="{1F27AF92-B0F1-403E-AAB5-1F2FF3CF87B2}"/>
    <cellStyle name="Header 11 3" xfId="1965" xr:uid="{BCCC4DA8-E7FF-4983-B7D2-1B70658A6A20}"/>
    <cellStyle name="Header 11 4" xfId="2351" xr:uid="{88FF30FC-84E2-4134-9BD5-53CFC9D0ABBF}"/>
    <cellStyle name="Header 11 5" xfId="2737" xr:uid="{12384E82-AE65-4FBA-8CA4-0D2C64CC6A5F}"/>
    <cellStyle name="Header 11 6" xfId="3112" xr:uid="{4AE5B5BF-92FC-4849-BADF-12EA149C00DA}"/>
    <cellStyle name="Header 11 7" xfId="3479" xr:uid="{BDEF4AE7-3173-463F-AAA2-8F6753B6471D}"/>
    <cellStyle name="Header 11 8" xfId="3834" xr:uid="{EE5E81C7-3FCA-468F-9330-78918B70DB68}"/>
    <cellStyle name="Header 12" xfId="964" xr:uid="{821382E4-C72E-4FEA-8A98-B916B593B180}"/>
    <cellStyle name="Header 12 2" xfId="1585" xr:uid="{99519680-99C6-4B45-BEF7-93DB7D4EC34C}"/>
    <cellStyle name="Header 12 3" xfId="1976" xr:uid="{61509AEF-A1D2-43A8-9090-D5CF82DF0716}"/>
    <cellStyle name="Header 12 4" xfId="2362" xr:uid="{AAEC7DC0-969B-464B-BC94-940059C02C49}"/>
    <cellStyle name="Header 12 5" xfId="2748" xr:uid="{32441734-A5B0-4400-8DE6-221562DFBAAE}"/>
    <cellStyle name="Header 12 6" xfId="3123" xr:uid="{A1A8C6AD-382E-4111-A0DE-D5ED2C1F14B6}"/>
    <cellStyle name="Header 12 7" xfId="3490" xr:uid="{A6C3987F-A886-4062-AD9D-EFAE14D0270F}"/>
    <cellStyle name="Header 12 8" xfId="3845" xr:uid="{E4224198-8788-4BCF-AFE5-B078F015EC60}"/>
    <cellStyle name="Header 2" xfId="60" xr:uid="{00000000-0005-0000-0000-00003C000000}"/>
    <cellStyle name="Header 2 10" xfId="1109" xr:uid="{EB36BBAD-EC4B-4AB1-A87D-04A1F86DC2F3}"/>
    <cellStyle name="Header 2 11" xfId="1227" xr:uid="{2188D06C-8748-4E69-9BD8-14232076B55D}"/>
    <cellStyle name="Header 2 12" xfId="1617" xr:uid="{BC00D48F-808B-4D17-878F-32233016454B}"/>
    <cellStyle name="Header 2 13" xfId="2006" xr:uid="{FE607078-7DC2-4765-A52B-B2C18D00120B}"/>
    <cellStyle name="Header 2 14" xfId="2004" xr:uid="{62831015-2BB1-4312-B23D-D920CC899C8F}"/>
    <cellStyle name="Header 2 15" xfId="2772" xr:uid="{28DF34BE-4431-4CBB-93CF-9FC1BA01E342}"/>
    <cellStyle name="Header 2 16" xfId="2771" xr:uid="{5A443FF1-BF20-4075-B86D-9C937993EE1B}"/>
    <cellStyle name="Header 2 2" xfId="741" xr:uid="{256E6190-2F1B-4FEF-9101-74929E5240DB}"/>
    <cellStyle name="Header 2 2 2" xfId="1364" xr:uid="{53E5F6A2-9D6D-46BA-B0D7-9582AE857D04}"/>
    <cellStyle name="Header 2 2 3" xfId="1754" xr:uid="{851AF88D-BA6E-45AD-8C91-F99A267F5E4A}"/>
    <cellStyle name="Header 2 2 4" xfId="2141" xr:uid="{DFB6C6E8-F6BA-47A1-9DCA-1543F5F71322}"/>
    <cellStyle name="Header 2 2 5" xfId="2526" xr:uid="{BFFDF682-9DF0-487E-902E-F8B241E6508D}"/>
    <cellStyle name="Header 2 2 6" xfId="2902" xr:uid="{36EDB0C9-E714-4359-A747-AEDB74FA3A1F}"/>
    <cellStyle name="Header 2 2 7" xfId="3269" xr:uid="{F58F2EA3-A062-47C6-B961-EE9E3ED4DFBF}"/>
    <cellStyle name="Header 2 2 8" xfId="3625" xr:uid="{AA026993-640B-4B8D-8B58-B777E0FC7D27}"/>
    <cellStyle name="Header 2 3" xfId="675" xr:uid="{D0B300AD-ECAA-470C-AA10-AEE1C0405B8B}"/>
    <cellStyle name="Header 2 3 2" xfId="1299" xr:uid="{EC09A375-CD7E-4BFD-9CF2-D98A04E4D050}"/>
    <cellStyle name="Header 2 3 3" xfId="1690" xr:uid="{EF1A7C3D-08BC-4B09-911E-D46229A80CE2}"/>
    <cellStyle name="Header 2 3 4" xfId="2076" xr:uid="{E11DD75F-AD0A-4CD3-B207-00A2E02907B3}"/>
    <cellStyle name="Header 2 3 5" xfId="2462" xr:uid="{92E289B7-253D-4DF2-A68D-A931B7AFAE6E}"/>
    <cellStyle name="Header 2 3 6" xfId="2838" xr:uid="{D3CEF246-0B10-48C1-8FF5-F3485BA9FBDA}"/>
    <cellStyle name="Header 2 3 7" xfId="3205" xr:uid="{046593D1-AED3-4B4B-8884-F8095A724730}"/>
    <cellStyle name="Header 2 3 8" xfId="3561" xr:uid="{BF851502-D2C3-4576-828B-C47A66154D22}"/>
    <cellStyle name="Header 2 4" xfId="896" xr:uid="{7925B285-4AA2-493B-85BD-693CA96AD55A}"/>
    <cellStyle name="Header 2 4 2" xfId="1517" xr:uid="{FE5039A5-1998-4765-A850-C8813E273906}"/>
    <cellStyle name="Header 2 4 3" xfId="1908" xr:uid="{7EB138E4-33D6-4E7A-AA20-241DED0CD629}"/>
    <cellStyle name="Header 2 4 4" xfId="2294" xr:uid="{DDE97B08-98B3-48AD-9E3F-D7B2D0A2026D}"/>
    <cellStyle name="Header 2 4 5" xfId="2680" xr:uid="{4F74A4B1-5C26-4471-88CE-AA4D0DA3292F}"/>
    <cellStyle name="Header 2 4 6" xfId="3055" xr:uid="{D8FCBFC3-AC19-4619-9890-452830E0E0FB}"/>
    <cellStyle name="Header 2 4 7" xfId="3422" xr:uid="{B52E3540-B8B4-42E0-914D-91C4D1A09F2B}"/>
    <cellStyle name="Header 2 4 8" xfId="3778" xr:uid="{C4592477-BAB1-42B3-9B50-CB36D2DA8552}"/>
    <cellStyle name="Header 2 5" xfId="665" xr:uid="{04EB43AE-D9DC-44E6-BE6C-7033527693A3}"/>
    <cellStyle name="Header 2 5 2" xfId="1289" xr:uid="{5DB104A4-C4E3-4A58-9781-6CFCB7A48AB8}"/>
    <cellStyle name="Header 2 5 3" xfId="1680" xr:uid="{2DEB88FF-7583-4C37-87FE-9EEAA59372EF}"/>
    <cellStyle name="Header 2 5 4" xfId="2066" xr:uid="{18C0016C-0D4D-4F24-BCDF-AFBE14808054}"/>
    <cellStyle name="Header 2 5 5" xfId="2452" xr:uid="{1ED5C846-798C-465E-A321-77726C6200D5}"/>
    <cellStyle name="Header 2 5 6" xfId="2828" xr:uid="{67F426AE-458B-4E79-B8C8-7EF8D3F74DF6}"/>
    <cellStyle name="Header 2 5 7" xfId="3195" xr:uid="{DD915640-E786-4E54-925F-95461B000605}"/>
    <cellStyle name="Header 2 5 8" xfId="3551" xr:uid="{80BCE372-7082-478C-857E-B6C04C3459EC}"/>
    <cellStyle name="Header 2 6" xfId="889" xr:uid="{D202E9A9-13A5-4B33-B9E2-23A1288C1145}"/>
    <cellStyle name="Header 2 6 2" xfId="1510" xr:uid="{DC24D304-8AD6-443E-B70F-72D7A763574C}"/>
    <cellStyle name="Header 2 6 3" xfId="1901" xr:uid="{0CB66189-F99F-4752-A7E7-3FB3E4170B72}"/>
    <cellStyle name="Header 2 6 4" xfId="2287" xr:uid="{A69E9A45-8EFD-4BA0-8A5B-A406302585BD}"/>
    <cellStyle name="Header 2 6 5" xfId="2673" xr:uid="{4876F4D3-EE89-44A1-9BA0-86FE8D5FA2E9}"/>
    <cellStyle name="Header 2 6 6" xfId="3048" xr:uid="{96525D04-1BEF-4640-B81C-7FF8D0BB0716}"/>
    <cellStyle name="Header 2 6 7" xfId="3415" xr:uid="{170265C2-961E-4988-AB2B-270FAEC89789}"/>
    <cellStyle name="Header 2 6 8" xfId="3771" xr:uid="{D9F2C7D9-5C09-4634-81FF-DEE600A9762D}"/>
    <cellStyle name="Header 2 7" xfId="956" xr:uid="{332E2B10-3BC7-4634-AD45-B03B29BC1E89}"/>
    <cellStyle name="Header 2 7 2" xfId="1577" xr:uid="{2F46CCC8-5320-4D00-B8B4-77ED4BCA71B0}"/>
    <cellStyle name="Header 2 7 3" xfId="1968" xr:uid="{013C570D-E1EC-41F6-B87E-D2CE2E963ED9}"/>
    <cellStyle name="Header 2 7 4" xfId="2354" xr:uid="{BBD1276C-789A-480B-B025-A9628BDC52C1}"/>
    <cellStyle name="Header 2 7 5" xfId="2740" xr:uid="{33F7A589-824E-41AF-9106-C0AF41748E0F}"/>
    <cellStyle name="Header 2 7 6" xfId="3115" xr:uid="{33D73BBB-8699-4DC8-A37E-442EF7702356}"/>
    <cellStyle name="Header 2 7 7" xfId="3482" xr:uid="{42537D22-2F23-4644-9095-30AA75D7A293}"/>
    <cellStyle name="Header 2 7 8" xfId="3837" xr:uid="{DB684F92-DED9-4961-A241-E06778BB7A6A}"/>
    <cellStyle name="Header 2 8" xfId="970" xr:uid="{C69C9DED-C625-4E4C-9E09-73CE6D0DA658}"/>
    <cellStyle name="Header 2 8 2" xfId="1591" xr:uid="{8A06E98C-84A7-4CD5-B48A-53E309FDACE1}"/>
    <cellStyle name="Header 2 8 3" xfId="1982" xr:uid="{36237721-9EEC-483D-A96C-63643376BB78}"/>
    <cellStyle name="Header 2 8 4" xfId="2368" xr:uid="{961867AA-48B5-4F88-9B4C-2DEC18A63C04}"/>
    <cellStyle name="Header 2 8 5" xfId="2754" xr:uid="{9370735F-8678-4125-ADAE-C63E896AF432}"/>
    <cellStyle name="Header 2 8 6" xfId="3129" xr:uid="{38714F08-B70F-4432-9271-001BF4812C61}"/>
    <cellStyle name="Header 2 8 7" xfId="3496" xr:uid="{4E204FAD-A722-41D5-BBFD-FCC2C97C3536}"/>
    <cellStyle name="Header 2 8 8" xfId="3851" xr:uid="{3A849101-BE0B-4F80-AD0D-9987B11B1C61}"/>
    <cellStyle name="Header 2 9" xfId="403" xr:uid="{9AAC0ACD-A419-4411-B2D8-5CF2C7C7AC5F}"/>
    <cellStyle name="Header 3" xfId="432" xr:uid="{7F05375D-820D-4DD4-9168-4E320DFDAB90}"/>
    <cellStyle name="Header 3 10" xfId="441" xr:uid="{9663464A-569A-479A-8AAC-88A4C725D4F3}"/>
    <cellStyle name="Header 3 11" xfId="1191" xr:uid="{F61AC30F-B904-4FFB-941D-E5F36AE5C392}"/>
    <cellStyle name="Header 3 12" xfId="2002" xr:uid="{7B34F369-CA11-42DB-B4E8-8BB8A78CE724}"/>
    <cellStyle name="Header 3 13" xfId="996" xr:uid="{6CFA5C8F-DF78-470B-9BBD-D15F0E207B1E}"/>
    <cellStyle name="Header 3 14" xfId="2770" xr:uid="{4C3BFCC4-407A-46DA-9204-79D4B36356EF}"/>
    <cellStyle name="Header 3 15" xfId="993" xr:uid="{E3C320EF-4789-467E-BDF7-98A65E9FD782}"/>
    <cellStyle name="Header 3 2" xfId="757" xr:uid="{1F8E8C68-3651-4FC9-A079-A167549DBF55}"/>
    <cellStyle name="Header 3 2 2" xfId="1380" xr:uid="{54F8654B-C1D9-47DF-AB95-BE3D5B8BD8E3}"/>
    <cellStyle name="Header 3 2 3" xfId="1770" xr:uid="{6A3F55DA-5B75-4961-84E6-0321438F5119}"/>
    <cellStyle name="Header 3 2 4" xfId="2157" xr:uid="{223D1E08-B637-4126-9690-3A842E64B3BF}"/>
    <cellStyle name="Header 3 2 5" xfId="2542" xr:uid="{670574A4-31E2-4BBF-BF80-B468C017760B}"/>
    <cellStyle name="Header 3 2 6" xfId="2918" xr:uid="{3006653C-D903-41B6-AF0E-FB09462164AA}"/>
    <cellStyle name="Header 3 2 7" xfId="3285" xr:uid="{582C9FC2-5212-4BD5-A535-622C840A1541}"/>
    <cellStyle name="Header 3 2 8" xfId="3641" xr:uid="{A07F7A2E-D878-40DC-AE47-0363B169765D}"/>
    <cellStyle name="Header 3 3" xfId="723" xr:uid="{9273CB0C-D918-4275-9448-54BFF3D64A50}"/>
    <cellStyle name="Header 3 3 2" xfId="1346" xr:uid="{0AC73837-81EE-457F-BA27-E08605339E9B}"/>
    <cellStyle name="Header 3 3 3" xfId="1737" xr:uid="{AF3C405F-0478-4C3C-8FAC-52812D6A837D}"/>
    <cellStyle name="Header 3 3 4" xfId="2123" xr:uid="{13C6937B-8A84-43C6-B580-D97C37BFB03C}"/>
    <cellStyle name="Header 3 3 5" xfId="2509" xr:uid="{8C05BE40-E471-4052-BC20-AA4BCF1677A9}"/>
    <cellStyle name="Header 3 3 6" xfId="2885" xr:uid="{C45A520E-DFC0-42C0-AFE9-1A01A57663FF}"/>
    <cellStyle name="Header 3 3 7" xfId="3252" xr:uid="{89842EF7-35AA-4B31-BEDC-550AC594A504}"/>
    <cellStyle name="Header 3 3 8" xfId="3608" xr:uid="{36FE85BA-E7BA-44F7-B6C5-DD523FD5E14C}"/>
    <cellStyle name="Header 3 4" xfId="763" xr:uid="{995335A4-AE4C-4631-955A-1C33DAF79F69}"/>
    <cellStyle name="Header 3 4 2" xfId="1386" xr:uid="{36F4C5B8-4013-48A9-9999-DDCE35D3D94A}"/>
    <cellStyle name="Header 3 4 3" xfId="1776" xr:uid="{77C603CD-C7BB-44B2-A8BB-E33CFB0F811B}"/>
    <cellStyle name="Header 3 4 4" xfId="2163" xr:uid="{8FC98554-6027-46FC-A978-15AC3BACF264}"/>
    <cellStyle name="Header 3 4 5" xfId="2548" xr:uid="{09344EA6-D559-4273-B88C-854FF9D2113B}"/>
    <cellStyle name="Header 3 4 6" xfId="2924" xr:uid="{52C589DB-FF45-49FC-8687-BBAC46A07140}"/>
    <cellStyle name="Header 3 4 7" xfId="3291" xr:uid="{29EDAACA-DD2F-47F4-A424-806A38C45EAC}"/>
    <cellStyle name="Header 3 4 8" xfId="3647" xr:uid="{211FC1CE-0C10-4C95-AA38-9038AC5ED123}"/>
    <cellStyle name="Header 3 5" xfId="834" xr:uid="{CB2B886C-8B82-462B-B0BC-6B90601F5CCD}"/>
    <cellStyle name="Header 3 5 2" xfId="1456" xr:uid="{004E582E-5A08-4D23-A788-1BFDB4009BD6}"/>
    <cellStyle name="Header 3 5 3" xfId="1846" xr:uid="{53DD49AD-9847-4FFD-824F-60DB87E338BA}"/>
    <cellStyle name="Header 3 5 4" xfId="2233" xr:uid="{C9F9ADF2-8FB9-4BB3-AECF-311340E7D91B}"/>
    <cellStyle name="Header 3 5 5" xfId="2618" xr:uid="{BB82B292-CA81-4032-96C4-E432294166AA}"/>
    <cellStyle name="Header 3 5 6" xfId="2994" xr:uid="{BDE5BEDC-F41C-4D7B-933C-4D9CA309B0D5}"/>
    <cellStyle name="Header 3 5 7" xfId="3361" xr:uid="{1B430AC6-231B-49EC-85CD-084BEABF0367}"/>
    <cellStyle name="Header 3 5 8" xfId="3717" xr:uid="{6E2BC741-BC16-4244-9DEF-A12E9B76E0EB}"/>
    <cellStyle name="Header 3 6" xfId="201" xr:uid="{CF0FDCEC-86D6-4D9C-976F-6CC9F2DBA12A}"/>
    <cellStyle name="Header 3 6 2" xfId="976" xr:uid="{521EB519-D848-4FE1-AB44-E049B81110C7}"/>
    <cellStyle name="Header 3 6 3" xfId="1176" xr:uid="{B0DAEA31-BC6F-4FAF-B740-A724C386F4D6}"/>
    <cellStyle name="Header 3 6 4" xfId="1221" xr:uid="{8BD14BDD-6ADC-486E-9D4F-EB12D69ADB19}"/>
    <cellStyle name="Header 3 6 5" xfId="1612" xr:uid="{59DBB101-B8FF-49F8-A655-69F14CEFEEED}"/>
    <cellStyle name="Header 3 6 6" xfId="1998" xr:uid="{76EFB72D-E1FE-4497-87CA-65AA79789E8C}"/>
    <cellStyle name="Header 3 6 7" xfId="1618" xr:uid="{A4C6817A-E6B0-4688-8C72-482FBE54B2C4}"/>
    <cellStyle name="Header 3 6 8" xfId="2766" xr:uid="{38951654-B91E-4AD0-A2E5-BB96B2D420CD}"/>
    <cellStyle name="Header 3 7" xfId="911" xr:uid="{D99B5D8C-A5F0-48D5-8A7A-CCAD217527DF}"/>
    <cellStyle name="Header 3 7 2" xfId="1532" xr:uid="{D5C742D3-9F77-43C9-BC1A-02C6A51B4076}"/>
    <cellStyle name="Header 3 7 3" xfId="1923" xr:uid="{82A73C29-C036-4CE7-A66D-6E59CA277676}"/>
    <cellStyle name="Header 3 7 4" xfId="2309" xr:uid="{A30EBD5E-E020-4299-A7CF-D462C5701753}"/>
    <cellStyle name="Header 3 7 5" xfId="2695" xr:uid="{884EC79B-D75B-4673-9C63-E9DD91230421}"/>
    <cellStyle name="Header 3 7 6" xfId="3070" xr:uid="{85438E92-FE71-4C97-9298-5D4EEB7F263B}"/>
    <cellStyle name="Header 3 7 7" xfId="3437" xr:uid="{A12EBB94-05F2-4AD2-AF06-4ADB2C4A57AF}"/>
    <cellStyle name="Header 3 7 8" xfId="3793" xr:uid="{3B4F436E-0989-4EB8-8CFF-FA99045ABA0D}"/>
    <cellStyle name="Header 3 8" xfId="936" xr:uid="{A2D0FCD2-52EB-4317-827C-AE5C3B0960A1}"/>
    <cellStyle name="Header 3 8 2" xfId="1557" xr:uid="{67F14124-650D-4A9A-9A5F-C125D8F4F881}"/>
    <cellStyle name="Header 3 8 3" xfId="1948" xr:uid="{27F76675-FB6F-42DE-A9AE-68E8B8D1441A}"/>
    <cellStyle name="Header 3 8 4" xfId="2334" xr:uid="{F806A0FF-2E05-44BF-91E4-B9622E997CC6}"/>
    <cellStyle name="Header 3 8 5" xfId="2720" xr:uid="{F319B33B-7242-4E48-BC56-CB07E8ED5FD0}"/>
    <cellStyle name="Header 3 8 6" xfId="3095" xr:uid="{D05B20B9-41B3-4E6D-A858-02BAE4BAAFE3}"/>
    <cellStyle name="Header 3 8 7" xfId="3462" xr:uid="{BD575AAB-F0EB-400F-A764-424B86437617}"/>
    <cellStyle name="Header 3 8 8" xfId="3817" xr:uid="{80468056-4992-49E8-9ED8-68B21ACE14C9}"/>
    <cellStyle name="Header 3 9" xfId="1126" xr:uid="{EBC2FAEA-55B9-41E6-A756-3F1DCC56285B}"/>
    <cellStyle name="Header 4" xfId="442" xr:uid="{5EE1760E-FD01-4E86-835A-D29DFC90AA8D}"/>
    <cellStyle name="Header 4 10" xfId="1105" xr:uid="{E21E1BBB-4F01-465D-82EA-270315AD0219}"/>
    <cellStyle name="Header 4 11" xfId="1130" xr:uid="{FDC0637F-BBF8-4F0D-8356-A0920D7EF043}"/>
    <cellStyle name="Header 4 12" xfId="1045" xr:uid="{C2B96893-2918-4C6B-A81C-CE7A3C0FC95F}"/>
    <cellStyle name="Header 4 13" xfId="1988" xr:uid="{E67D0927-B461-49D6-98CE-A9C4221D57E2}"/>
    <cellStyle name="Header 4 14" xfId="163" xr:uid="{012670C6-4ACE-473E-80BE-72CE0AF44BA6}"/>
    <cellStyle name="Header 4 15" xfId="2758" xr:uid="{527D370C-2504-4783-AD9A-4DF1AEEBC72F}"/>
    <cellStyle name="Header 4 2" xfId="765" xr:uid="{09403738-3FBE-4300-9A5F-4199161492B7}"/>
    <cellStyle name="Header 4 2 2" xfId="1388" xr:uid="{97E6FF5A-0B03-4923-BD90-C9B869F64DA8}"/>
    <cellStyle name="Header 4 2 3" xfId="1778" xr:uid="{9F801165-C101-4393-A98F-B475750C2474}"/>
    <cellStyle name="Header 4 2 4" xfId="2165" xr:uid="{66102DEC-1459-4B08-9105-48E1AA693BBB}"/>
    <cellStyle name="Header 4 2 5" xfId="2550" xr:uid="{A3818A1D-0314-45F2-B962-C2DA03948B79}"/>
    <cellStyle name="Header 4 2 6" xfId="2926" xr:uid="{AA293C5C-1601-4CB1-8DF8-9C504B17691B}"/>
    <cellStyle name="Header 4 2 7" xfId="3293" xr:uid="{3BD349E4-6AFF-4424-BE0A-BA6BEAF98EA4}"/>
    <cellStyle name="Header 4 2 8" xfId="3649" xr:uid="{E711951F-2755-4912-8A34-90C41F27E262}"/>
    <cellStyle name="Header 4 3" xfId="656" xr:uid="{791C72EC-31AB-4F0D-87E6-517A9A07C13A}"/>
    <cellStyle name="Header 4 3 2" xfId="1280" xr:uid="{06717A76-1B79-41C7-997A-B7689D5C96A8}"/>
    <cellStyle name="Header 4 3 3" xfId="1671" xr:uid="{FE34CD3D-51E0-4994-9A7A-F36B2D399C9A}"/>
    <cellStyle name="Header 4 3 4" xfId="2057" xr:uid="{35306E10-B262-4CB1-B805-969C60B39EB4}"/>
    <cellStyle name="Header 4 3 5" xfId="2443" xr:uid="{75865851-3255-4B24-868A-D78FFC2FCBC6}"/>
    <cellStyle name="Header 4 3 6" xfId="2819" xr:uid="{EA06BE4F-AB7F-4203-BAD8-64969BDBF33E}"/>
    <cellStyle name="Header 4 3 7" xfId="3186" xr:uid="{E44F1F7F-6D46-4424-A832-62DEFA7A9688}"/>
    <cellStyle name="Header 4 3 8" xfId="3542" xr:uid="{A56189A1-0370-4687-8B49-C65404648DCC}"/>
    <cellStyle name="Header 4 4" xfId="893" xr:uid="{94C58908-FB1E-438E-8442-B2A64D41418E}"/>
    <cellStyle name="Header 4 4 2" xfId="1514" xr:uid="{23E1C5C3-0F61-4819-B7E6-0FFE61C86876}"/>
    <cellStyle name="Header 4 4 3" xfId="1905" xr:uid="{01AF23DE-D18A-4CFD-942D-101A70FB383B}"/>
    <cellStyle name="Header 4 4 4" xfId="2291" xr:uid="{B71C5792-4A79-4784-9A61-7E7E1302AC18}"/>
    <cellStyle name="Header 4 4 5" xfId="2677" xr:uid="{ABA16568-296E-492D-B4FC-95F9E0A0AE62}"/>
    <cellStyle name="Header 4 4 6" xfId="3052" xr:uid="{0264F642-89EC-4E65-A1CC-EF898E03923D}"/>
    <cellStyle name="Header 4 4 7" xfId="3419" xr:uid="{AEE52C31-675E-45DC-89EF-BA49814C8322}"/>
    <cellStyle name="Header 4 4 8" xfId="3775" xr:uid="{94337B7A-8136-4D79-872E-3566AC9A4DEA}"/>
    <cellStyle name="Header 4 5" xfId="628" xr:uid="{59B8FD69-00C8-4755-A21F-ED3970C0FF16}"/>
    <cellStyle name="Header 4 5 2" xfId="1252" xr:uid="{0FE140D2-60A9-4AC4-BD91-F54F836FF711}"/>
    <cellStyle name="Header 4 5 3" xfId="1643" xr:uid="{C692CC3D-CB11-49FA-81E5-16D64E5A9230}"/>
    <cellStyle name="Header 4 5 4" xfId="2030" xr:uid="{BC55EF66-85D4-4FFD-BC76-B1CE60017A89}"/>
    <cellStyle name="Header 4 5 5" xfId="2415" xr:uid="{EE73EAA7-58A8-4B05-A430-D1F5ED29CCA4}"/>
    <cellStyle name="Header 4 5 6" xfId="2792" xr:uid="{C9CC2A52-7BE6-41ED-A93D-9B5439D3F85D}"/>
    <cellStyle name="Header 4 5 7" xfId="3158" xr:uid="{72252C44-F2D4-4BCB-A896-2D762AC5C6DE}"/>
    <cellStyle name="Header 4 5 8" xfId="3515" xr:uid="{860458D5-4B99-4209-997A-4158DCB4F778}"/>
    <cellStyle name="Header 4 6" xfId="810" xr:uid="{77135F73-ADEE-4C8B-B9FD-42E01BF0C57A}"/>
    <cellStyle name="Header 4 6 2" xfId="1433" xr:uid="{621D58D8-11EF-46D4-8771-E88C415BD5AE}"/>
    <cellStyle name="Header 4 6 3" xfId="1823" xr:uid="{FC881534-3564-484D-AB1F-0137AA5CC06B}"/>
    <cellStyle name="Header 4 6 4" xfId="2210" xr:uid="{B2649788-843D-4AC0-98C6-167CE522F63E}"/>
    <cellStyle name="Header 4 6 5" xfId="2595" xr:uid="{0F3EEF57-2D0F-4E7D-9900-2D9D6FA5D33D}"/>
    <cellStyle name="Header 4 6 6" xfId="2971" xr:uid="{1CA8E127-52D5-43ED-8EB0-6FB0353FFE81}"/>
    <cellStyle name="Header 4 6 7" xfId="3338" xr:uid="{C5A53760-0595-4FF5-B420-AFB5F0232FFA}"/>
    <cellStyle name="Header 4 6 8" xfId="3694" xr:uid="{C21D8601-9310-445A-9B50-E1402F939B11}"/>
    <cellStyle name="Header 4 7" xfId="885" xr:uid="{32D5570A-75A9-4CEA-B831-F51DFD1AEE03}"/>
    <cellStyle name="Header 4 7 2" xfId="1506" xr:uid="{889B4803-1B9E-4AD4-8CDE-97FC5F8CBC03}"/>
    <cellStyle name="Header 4 7 3" xfId="1897" xr:uid="{0E2D327D-C227-402B-BC7A-FED5784C7DCF}"/>
    <cellStyle name="Header 4 7 4" xfId="2283" xr:uid="{A7038AC2-C921-4DE5-8027-A6640D711BD4}"/>
    <cellStyle name="Header 4 7 5" xfId="2669" xr:uid="{B6D5D339-E762-43D1-A601-A2FB4E29C502}"/>
    <cellStyle name="Header 4 7 6" xfId="3044" xr:uid="{7151B2A4-FCDB-4EFC-8B0F-ABE48B8A4FBF}"/>
    <cellStyle name="Header 4 7 7" xfId="3411" xr:uid="{5956DAAC-7F0A-4699-B936-01CF04BBAA9A}"/>
    <cellStyle name="Header 4 7 8" xfId="3767" xr:uid="{BF535FF3-B1BF-486E-A8D3-258E98006D8E}"/>
    <cellStyle name="Header 4 8" xfId="969" xr:uid="{C6A971A8-D2F3-485A-962E-61580B15A921}"/>
    <cellStyle name="Header 4 8 2" xfId="1590" xr:uid="{31FEEE53-AB57-4A5B-A442-072013639D05}"/>
    <cellStyle name="Header 4 8 3" xfId="1981" xr:uid="{DD73D23E-C637-4C8D-84F0-77D0F0AB6A5E}"/>
    <cellStyle name="Header 4 8 4" xfId="2367" xr:uid="{AA05C644-6CAD-48D6-9416-518C24774C4D}"/>
    <cellStyle name="Header 4 8 5" xfId="2753" xr:uid="{8ADE7B12-575D-4C9C-A311-142137E9AB22}"/>
    <cellStyle name="Header 4 8 6" xfId="3128" xr:uid="{538C248A-62C3-4C2E-ABE6-96E164476450}"/>
    <cellStyle name="Header 4 8 7" xfId="3495" xr:uid="{C66E6871-C67E-41B1-9037-0804CABE3644}"/>
    <cellStyle name="Header 4 8 8" xfId="3850" xr:uid="{CE206231-33BB-4353-8F8D-72C9EB22C03A}"/>
    <cellStyle name="Header 4 9" xfId="1135" xr:uid="{E439D116-E0A5-4666-B0B4-8CD74734144E}"/>
    <cellStyle name="Header 5" xfId="308" xr:uid="{0A2A064E-D849-4046-AFA3-212B60749252}"/>
    <cellStyle name="Header 5 2" xfId="1036" xr:uid="{A4DEB9DB-364E-4A93-ADFA-385BE0516BB3}"/>
    <cellStyle name="Header 5 3" xfId="1016" xr:uid="{13B2DF1D-856C-4313-B242-DD6C7D074BC5}"/>
    <cellStyle name="Header 5 4" xfId="1236" xr:uid="{C4B1E079-CA38-4537-B3A8-703E17B83722}"/>
    <cellStyle name="Header 5 5" xfId="1033" xr:uid="{B9902F80-911F-4CB6-9D58-3A59ACE70DFE}"/>
    <cellStyle name="Header 5 6" xfId="2014" xr:uid="{40ECA804-227E-4A70-A228-8F1A8129BF1B}"/>
    <cellStyle name="Header 5 7" xfId="979" xr:uid="{F4496569-0C4E-4FDE-AE03-F07104CA276A}"/>
    <cellStyle name="Header 5 8" xfId="2778" xr:uid="{881CF906-E2FC-42BD-AAE9-89643B1F2D90}"/>
    <cellStyle name="Header 6" xfId="671" xr:uid="{D33F07CF-CE55-4675-95DD-DB3F0E6DB5CA}"/>
    <cellStyle name="Header 6 2" xfId="1295" xr:uid="{2B198DDA-649F-42C0-8BEA-DF4DA7E01DCC}"/>
    <cellStyle name="Header 6 3" xfId="1686" xr:uid="{9E7F44A0-93DE-4218-803D-1BBFDDB5CE1B}"/>
    <cellStyle name="Header 6 4" xfId="2072" xr:uid="{FD7929B5-86D9-4D5A-85F9-1075902492CF}"/>
    <cellStyle name="Header 6 5" xfId="2458" xr:uid="{96ED182C-9AC6-4FAA-AEBA-6F6EBB8B28CC}"/>
    <cellStyle name="Header 6 6" xfId="2834" xr:uid="{086B01B0-C851-42FA-B370-666C7108B6DD}"/>
    <cellStyle name="Header 6 7" xfId="3201" xr:uid="{AAF68B05-EB3D-420D-A9C7-6E8B1F4F1E2C}"/>
    <cellStyle name="Header 6 8" xfId="3557" xr:uid="{8834626A-FC35-4C98-BC32-8591DB0E08BC}"/>
    <cellStyle name="Header 7" xfId="642" xr:uid="{CD2CD4D2-11CF-4173-B054-C8139F6C499A}"/>
    <cellStyle name="Header 7 2" xfId="1266" xr:uid="{C578B49D-FBFA-412E-BA6C-2CA3885C16DC}"/>
    <cellStyle name="Header 7 3" xfId="1657" xr:uid="{9C7BF5B6-4B44-4726-A53A-3E525AF30786}"/>
    <cellStyle name="Header 7 4" xfId="2043" xr:uid="{AAAC285E-2641-4B80-8BB6-0AD322530C0C}"/>
    <cellStyle name="Header 7 5" xfId="2429" xr:uid="{17F9489B-1738-4444-9E82-B8FD1DA4EBD9}"/>
    <cellStyle name="Header 7 6" xfId="2805" xr:uid="{8E21A3E9-6EA3-48DD-B29B-907E8386728B}"/>
    <cellStyle name="Header 7 7" xfId="3172" xr:uid="{D6EE4B57-6959-426C-9A44-017B0A04A39C}"/>
    <cellStyle name="Header 7 8" xfId="3528" xr:uid="{D124D9B0-5095-42DC-9A6F-D88BE7538ECC}"/>
    <cellStyle name="Header 8" xfId="884" xr:uid="{2CD17824-CE04-4FE8-B859-6D3BF9D710DD}"/>
    <cellStyle name="Header 8 2" xfId="1505" xr:uid="{BFEDD639-DCCF-476F-A74D-C43F8841DA74}"/>
    <cellStyle name="Header 8 3" xfId="1896" xr:uid="{0BDAC933-061B-4F41-A84C-891B3589BF85}"/>
    <cellStyle name="Header 8 4" xfId="2282" xr:uid="{9CEBA2A0-B45E-4189-AD09-7211215958F5}"/>
    <cellStyle name="Header 8 5" xfId="2668" xr:uid="{80F52C16-CEFC-4AAB-B9E0-D450FAB885F8}"/>
    <cellStyle name="Header 8 6" xfId="3043" xr:uid="{8E566F51-CC60-43AC-ADE9-8280AC50971F}"/>
    <cellStyle name="Header 8 7" xfId="3410" xr:uid="{B2BE743D-63A4-4299-AAC2-CFE8862D23FE}"/>
    <cellStyle name="Header 8 8" xfId="3766" xr:uid="{02AC43C1-83C6-4E9C-8262-1D3BE3D1125A}"/>
    <cellStyle name="Header 9" xfId="748" xr:uid="{5ACF539B-A253-4A83-9D47-6644787EE32C}"/>
    <cellStyle name="Header 9 2" xfId="1371" xr:uid="{DFF293FB-3979-438E-BA2B-C1A920ED6258}"/>
    <cellStyle name="Header 9 3" xfId="1761" xr:uid="{4A1EEFAC-5DD9-4BA5-A76E-9BE92068601D}"/>
    <cellStyle name="Header 9 4" xfId="2148" xr:uid="{5C202D37-36DE-432C-8A4D-E9E620E676F4}"/>
    <cellStyle name="Header 9 5" xfId="2533" xr:uid="{F144BBED-C035-47E3-9288-FA9757EFDF1C}"/>
    <cellStyle name="Header 9 6" xfId="2909" xr:uid="{2CD003C4-99FB-424D-8DBB-BF4D68AD255A}"/>
    <cellStyle name="Header 9 7" xfId="3276" xr:uid="{BB26EE23-1A33-4D01-A0A5-5E8BFD5957BA}"/>
    <cellStyle name="Header 9 8" xfId="3632" xr:uid="{27203640-3CF4-41D4-B034-2FEBC4BD7A9D}"/>
    <cellStyle name="Header_Forecast PREFU20" xfId="592" xr:uid="{B1B20A0F-7054-47F3-8E8D-75DBD13E72F4}"/>
    <cellStyle name="Header2" xfId="61" xr:uid="{00000000-0005-0000-0000-00003D000000}"/>
    <cellStyle name="Header2 2" xfId="62" xr:uid="{00000000-0005-0000-0000-00003E000000}"/>
    <cellStyle name="Header2 3" xfId="63" xr:uid="{00000000-0005-0000-0000-00003F000000}"/>
    <cellStyle name="Header2 3 2" xfId="443" xr:uid="{9EA9E2FD-21C1-40C6-A00C-0A3117219032}"/>
    <cellStyle name="Header2 4" xfId="309" xr:uid="{BA052459-A2BA-4C90-8B42-E64910B38DD8}"/>
    <cellStyle name="Header2_Forecast PREFU20" xfId="593" xr:uid="{D47DAF81-B60A-493B-B505-5B4B1DF21EEA}"/>
    <cellStyle name="Header3" xfId="64" xr:uid="{00000000-0005-0000-0000-000040000000}"/>
    <cellStyle name="Header3 2" xfId="420" xr:uid="{FFC34DA9-EA96-4ADC-98D7-73EC7E0D6030}"/>
    <cellStyle name="Header3 3" xfId="310" xr:uid="{77866CD3-385B-4693-A461-0958BA53A131}"/>
    <cellStyle name="Header3_Forecast PREFU20" xfId="594" xr:uid="{A21EA817-5186-4B79-9F60-7FF4BC4BA065}"/>
    <cellStyle name="Header-Grey Style" xfId="65" xr:uid="{00000000-0005-0000-0000-000041000000}"/>
    <cellStyle name="Heading 1 2" xfId="66" xr:uid="{00000000-0005-0000-0000-000042000000}"/>
    <cellStyle name="Heading 1 2 2" xfId="346" xr:uid="{A65BF9B8-2B6D-4BDF-90A1-5399D6D299D5}"/>
    <cellStyle name="Heading 1 3" xfId="376" xr:uid="{3BF5393D-34C6-4D56-9007-B28030EE83BE}"/>
    <cellStyle name="Heading 1 4" xfId="189" xr:uid="{C33930A8-CCA1-4709-8D34-0E34366AC5F7}"/>
    <cellStyle name="Heading 2 2" xfId="67" xr:uid="{00000000-0005-0000-0000-000043000000}"/>
    <cellStyle name="Heading 2 2 2" xfId="347" xr:uid="{3EE7FAD3-3DC8-4FA0-98A5-8725A8950FF6}"/>
    <cellStyle name="Heading 2 3" xfId="377" xr:uid="{0A9CAB4B-728C-4D2B-8B86-38F3EADAD37A}"/>
    <cellStyle name="Heading 2 4" xfId="190" xr:uid="{A2736156-6207-45B5-83C3-20687553A8BE}"/>
    <cellStyle name="Heading 3 2" xfId="68" xr:uid="{00000000-0005-0000-0000-000044000000}"/>
    <cellStyle name="Heading 3 2 2" xfId="348" xr:uid="{E2C76505-1E91-4343-87A2-6CD6552D6571}"/>
    <cellStyle name="Heading 3 3" xfId="378" xr:uid="{51B96041-A2BD-40E0-A6DD-B1ABED5D6F04}"/>
    <cellStyle name="Heading 3 4" xfId="191" xr:uid="{D6D426F4-8487-4C82-A1E6-FFE10DEDF30C}"/>
    <cellStyle name="Heading 4 2" xfId="69" xr:uid="{00000000-0005-0000-0000-000045000000}"/>
    <cellStyle name="Heading 4 2 2" xfId="70" xr:uid="{00000000-0005-0000-0000-000046000000}"/>
    <cellStyle name="Heading 4 2 2 2" xfId="349" xr:uid="{69B8B4B3-BDAC-4197-BFF7-AEBE9E08BD60}"/>
    <cellStyle name="Heading 4 3" xfId="71" xr:uid="{00000000-0005-0000-0000-000047000000}"/>
    <cellStyle name="Heading 4 4" xfId="72" xr:uid="{00000000-0005-0000-0000-000048000000}"/>
    <cellStyle name="Heading 4 5" xfId="192" xr:uid="{BF7EC3D0-309F-4B86-88E7-9CCB84C63E99}"/>
    <cellStyle name="Hyperlink" xfId="3855" builtinId="8"/>
    <cellStyle name="Hyperlink 2" xfId="73" xr:uid="{00000000-0005-0000-0000-00004A000000}"/>
    <cellStyle name="Input %" xfId="194" xr:uid="{F412AEC0-A8E0-457E-B5C4-FECA83966601}"/>
    <cellStyle name="Input 1" xfId="195" xr:uid="{5644273A-C0CB-49E6-9B65-CF847AFF04C7}"/>
    <cellStyle name="Input 10" xfId="449" xr:uid="{5519768E-7878-40D4-B02B-CC973FDF452A}"/>
    <cellStyle name="Input 10 10" xfId="1028" xr:uid="{2A127B72-C22F-4278-8BB5-AAC906DC041E}"/>
    <cellStyle name="Input 10 11" xfId="983" xr:uid="{98B0734C-E64F-435C-829F-C6789C1F92E3}"/>
    <cellStyle name="Input 10 12" xfId="1620" xr:uid="{309BCA79-8E8E-4781-99C4-F8AE0B6E235A}"/>
    <cellStyle name="Input 10 13" xfId="1156" xr:uid="{1DE1AC17-4BDC-4AF8-824B-F729DAFC453B}"/>
    <cellStyle name="Input 10 14" xfId="1608" xr:uid="{13EFC39C-646E-458E-846F-FD844CBBA8FD}"/>
    <cellStyle name="Input 10 15" xfId="135" xr:uid="{C8048038-E2CD-47AD-9C3C-35AAC35EFCAF}"/>
    <cellStyle name="Input 10 2" xfId="769" xr:uid="{5EE2E1DA-CC9C-4700-ADF0-80225C745ABD}"/>
    <cellStyle name="Input 10 2 2" xfId="1392" xr:uid="{3744D099-FD52-4B60-96F1-D957B6CB2DD3}"/>
    <cellStyle name="Input 10 2 3" xfId="1782" xr:uid="{CDDD84DC-B72A-405C-B5BF-517690778868}"/>
    <cellStyle name="Input 10 2 4" xfId="2169" xr:uid="{A17F133D-7100-4521-986D-B2FA0633D2E9}"/>
    <cellStyle name="Input 10 2 5" xfId="2554" xr:uid="{DE4651D3-6A02-4E3F-ADD0-8466F72ED9EA}"/>
    <cellStyle name="Input 10 2 6" xfId="2930" xr:uid="{C73A8272-A173-43AA-9AB0-C153D692A9AD}"/>
    <cellStyle name="Input 10 2 7" xfId="3297" xr:uid="{C28F627D-1B64-4B63-8558-2FFCE9E26149}"/>
    <cellStyle name="Input 10 2 8" xfId="3653" xr:uid="{5B40C348-A955-4844-B826-75DFAAB45EA3}"/>
    <cellStyle name="Input 10 3" xfId="864" xr:uid="{98CCADCD-1AEC-4C35-9460-4DB87E061EB3}"/>
    <cellStyle name="Input 10 3 2" xfId="1486" xr:uid="{CB1769CF-086B-490B-9F9F-B2994AA6F27F}"/>
    <cellStyle name="Input 10 3 3" xfId="1876" xr:uid="{A0B581B8-B208-4A61-8308-2A7D8CF96A4B}"/>
    <cellStyle name="Input 10 3 4" xfId="2263" xr:uid="{D6DBF10E-3EFD-407A-8D6C-94AEB63A0B0E}"/>
    <cellStyle name="Input 10 3 5" xfId="2648" xr:uid="{1EA7708C-D39A-4C1A-9E7A-60F86650D577}"/>
    <cellStyle name="Input 10 3 6" xfId="3024" xr:uid="{0FB61BD2-5A67-44C0-8C82-D97CB6205A9A}"/>
    <cellStyle name="Input 10 3 7" xfId="3391" xr:uid="{E67757F2-6B68-446A-B8E7-B5C365FCD8B0}"/>
    <cellStyle name="Input 10 3 8" xfId="3747" xr:uid="{C2FE7F7F-033D-4D8D-A3EA-8EB4018EC261}"/>
    <cellStyle name="Input 10 4" xfId="744" xr:uid="{2E560E50-AC5C-41D9-A55D-91A6C4B9AF30}"/>
    <cellStyle name="Input 10 4 2" xfId="1367" xr:uid="{CAF20068-00AC-4868-A7D7-8EA2BCC8FC18}"/>
    <cellStyle name="Input 10 4 3" xfId="1757" xr:uid="{7F410398-C384-4D72-B973-A7C3B88EA9B5}"/>
    <cellStyle name="Input 10 4 4" xfId="2144" xr:uid="{3D4BF8C6-EB2F-44C8-B958-50E29D8470F6}"/>
    <cellStyle name="Input 10 4 5" xfId="2529" xr:uid="{9DE8FB64-3364-4899-9071-592E0B485DC0}"/>
    <cellStyle name="Input 10 4 6" xfId="2905" xr:uid="{78B6F330-C9F2-4192-A907-03687B9172FA}"/>
    <cellStyle name="Input 10 4 7" xfId="3272" xr:uid="{D8AEF2A6-F80B-4DF9-BC2C-9E20A24FAD0F}"/>
    <cellStyle name="Input 10 4 8" xfId="3628" xr:uid="{4C6B0C40-12DB-4E8B-B4AD-B418B6FCF23B}"/>
    <cellStyle name="Input 10 5" xfId="917" xr:uid="{6A3A481D-7CF4-46BD-B6DC-AA136EE76F50}"/>
    <cellStyle name="Input 10 5 2" xfId="1538" xr:uid="{1795F369-C7CE-4CEC-ACB4-6A016D8AFBDD}"/>
    <cellStyle name="Input 10 5 3" xfId="1929" xr:uid="{4A3338CF-811E-4780-8B82-ADBBD2373F36}"/>
    <cellStyle name="Input 10 5 4" xfId="2315" xr:uid="{AB1F44C1-D1C9-474F-B7F2-DE9B97B02FE6}"/>
    <cellStyle name="Input 10 5 5" xfId="2701" xr:uid="{E7E506FE-0A8A-40F6-B7E1-9D3D01DDAE58}"/>
    <cellStyle name="Input 10 5 6" xfId="3076" xr:uid="{B92FBD2A-8B84-490D-9FE8-63C7B6BD2A86}"/>
    <cellStyle name="Input 10 5 7" xfId="3443" xr:uid="{12776A25-D692-4727-8CB9-41CACB4986A2}"/>
    <cellStyle name="Input 10 5 8" xfId="3799" xr:uid="{19E1BFE0-F93B-4057-AEF5-9DC9DF3BC9D8}"/>
    <cellStyle name="Input 10 6" xfId="941" xr:uid="{834F6CD4-0736-4E1F-BA84-58E108B119F1}"/>
    <cellStyle name="Input 10 6 2" xfId="1562" xr:uid="{3E81CD53-8A36-4C67-B587-FA63A246EFE8}"/>
    <cellStyle name="Input 10 6 3" xfId="1953" xr:uid="{C7CEC644-17C6-4F32-9D76-9826C97B702A}"/>
    <cellStyle name="Input 10 6 4" xfId="2339" xr:uid="{6054C526-41B7-4F22-96E5-B8A66EC4DAE0}"/>
    <cellStyle name="Input 10 6 5" xfId="2725" xr:uid="{3B723FA0-CFF3-4943-AB9B-B4678F557203}"/>
    <cellStyle name="Input 10 6 6" xfId="3100" xr:uid="{137897AE-7709-48BC-BC88-604045285413}"/>
    <cellStyle name="Input 10 6 7" xfId="3467" xr:uid="{76ABEF6A-E6A6-4C14-B73E-2B8D5704C2BF}"/>
    <cellStyle name="Input 10 6 8" xfId="3822" xr:uid="{ACA36E83-433C-4B9A-88D9-8F955FB4C6D8}"/>
    <cellStyle name="Input 10 7" xfId="677" xr:uid="{1BC4EC22-121E-49E5-A853-7256AFB12432}"/>
    <cellStyle name="Input 10 7 2" xfId="1301" xr:uid="{D6C74CCC-0D01-43D5-B4A0-A2D8721B7372}"/>
    <cellStyle name="Input 10 7 3" xfId="1692" xr:uid="{BEC2BC5B-8F79-469F-8A4C-610CE0ED7910}"/>
    <cellStyle name="Input 10 7 4" xfId="2078" xr:uid="{E4900FF7-477A-452B-A598-C9B2D4D3DE65}"/>
    <cellStyle name="Input 10 7 5" xfId="2464" xr:uid="{B2FD627F-0180-47F2-88DA-5B513DC47C9A}"/>
    <cellStyle name="Input 10 7 6" xfId="2840" xr:uid="{4BC86D81-F467-4092-BDB0-40A552D0E9B4}"/>
    <cellStyle name="Input 10 7 7" xfId="3207" xr:uid="{B0ADB850-B1EB-4AC4-95AA-C838C341A50C}"/>
    <cellStyle name="Input 10 7 8" xfId="3563" xr:uid="{486E8398-A61E-492B-91BB-E84085CB85A7}"/>
    <cellStyle name="Input 10 8" xfId="913" xr:uid="{B8D3DF77-F756-4D4C-BBE1-DD7DC4BDE9E3}"/>
    <cellStyle name="Input 10 8 2" xfId="1534" xr:uid="{6A13865A-48DB-4812-80B4-F9F479736642}"/>
    <cellStyle name="Input 10 8 3" xfId="1925" xr:uid="{DC6F6C16-BE33-49D8-8C6B-0DF42791027D}"/>
    <cellStyle name="Input 10 8 4" xfId="2311" xr:uid="{4957A0C6-1E73-4BF1-9FF5-2916F8936D8F}"/>
    <cellStyle name="Input 10 8 5" xfId="2697" xr:uid="{3807214A-2165-4B1C-A888-83B3269DCC32}"/>
    <cellStyle name="Input 10 8 6" xfId="3072" xr:uid="{A60A0469-7A02-47C6-BE01-AA2F14B1F77A}"/>
    <cellStyle name="Input 10 8 7" xfId="3439" xr:uid="{3A464A39-CE12-479B-9068-8923E3536488}"/>
    <cellStyle name="Input 10 8 8" xfId="3795" xr:uid="{98871DB1-D741-4318-AFD1-3410D91093F9}"/>
    <cellStyle name="Input 10 9" xfId="1139" xr:uid="{276B7FF5-1D0B-4DD1-A725-B144C4444387}"/>
    <cellStyle name="Input 11" xfId="480" xr:uid="{ECBCFA07-E9E8-45F6-8FE1-C0F59875F900}"/>
    <cellStyle name="Input 11 10" xfId="998" xr:uid="{9AE21698-15C2-438C-AE97-2B08C48A18F7}"/>
    <cellStyle name="Input 11 11" xfId="1212" xr:uid="{107B2872-D7CE-4938-AF03-24A2EF92AAC8}"/>
    <cellStyle name="Input 11 12" xfId="1189" xr:uid="{043102D9-3E83-4242-9CC3-174E8CC83EF6}"/>
    <cellStyle name="Input 11 13" xfId="1134" xr:uid="{2E879350-AD7F-4138-B8A5-3837557E7F1B}"/>
    <cellStyle name="Input 11 14" xfId="2401" xr:uid="{C4BD7AA4-6989-4DFC-83E2-F0A97C07207B}"/>
    <cellStyle name="Input 11 15" xfId="1203" xr:uid="{F522DA33-3943-4C86-8B48-4F0C2C1FA855}"/>
    <cellStyle name="Input 11 2" xfId="789" xr:uid="{EDA3ADC9-B8BC-45C7-89E0-1CF948F164AD}"/>
    <cellStyle name="Input 11 2 2" xfId="1412" xr:uid="{8F1F6A65-9C95-48E1-A459-6FB815B891D9}"/>
    <cellStyle name="Input 11 2 3" xfId="1802" xr:uid="{26F9B223-A82E-4FB2-825D-E87E3492A9AB}"/>
    <cellStyle name="Input 11 2 4" xfId="2189" xr:uid="{ACCFF249-55C1-422B-A973-6C561BDAFD35}"/>
    <cellStyle name="Input 11 2 5" xfId="2574" xr:uid="{65E65855-7007-4AB7-965C-D8D11799BF88}"/>
    <cellStyle name="Input 11 2 6" xfId="2950" xr:uid="{D0497C5E-B4BD-40AB-B384-4F589074253B}"/>
    <cellStyle name="Input 11 2 7" xfId="3317" xr:uid="{96D1D62E-792F-4B69-B48B-9C501BD5BD42}"/>
    <cellStyle name="Input 11 2 8" xfId="3673" xr:uid="{97239335-2173-465F-A173-B305458A58A5}"/>
    <cellStyle name="Input 11 3" xfId="280" xr:uid="{1910BA9B-A52C-4E0E-B78F-A4013906E5CB}"/>
    <cellStyle name="Input 11 3 2" xfId="1018" xr:uid="{5E649B4C-6038-4FF1-ADED-BF8EFCD92366}"/>
    <cellStyle name="Input 11 3 3" xfId="1235" xr:uid="{8ADA8F8F-BD2A-4924-B7C5-1B54027C302A}"/>
    <cellStyle name="Input 11 3 4" xfId="1626" xr:uid="{6DA3CB35-E570-41A9-8A04-96AF4EECB1B2}"/>
    <cellStyle name="Input 11 3 5" xfId="2012" xr:uid="{CF8AC18F-E0B8-4F7F-B8CB-636790828DE2}"/>
    <cellStyle name="Input 11 3 6" xfId="1194" xr:uid="{5746A765-C436-40AA-8C88-2918B0F9D3C7}"/>
    <cellStyle name="Input 11 3 7" xfId="2776" xr:uid="{F593A9E2-0928-4A73-8B69-FA829C999418}"/>
    <cellStyle name="Input 11 3 8" xfId="1603" xr:uid="{496F0FE0-117A-4EBD-9AE9-DE7F5DC3AD47}"/>
    <cellStyle name="Input 11 4" xfId="746" xr:uid="{64B13F33-906E-472D-82F6-E67C5F3C9867}"/>
    <cellStyle name="Input 11 4 2" xfId="1369" xr:uid="{D3D9883D-A9A5-47B7-96F7-F09F121A1002}"/>
    <cellStyle name="Input 11 4 3" xfId="1759" xr:uid="{E38C67B2-103E-4FE3-A4A0-76DA537CB388}"/>
    <cellStyle name="Input 11 4 4" xfId="2146" xr:uid="{6F80EF15-2929-4047-85AE-919F42559D69}"/>
    <cellStyle name="Input 11 4 5" xfId="2531" xr:uid="{5165E2B2-A66A-4E27-94B1-AE79EBBA86CF}"/>
    <cellStyle name="Input 11 4 6" xfId="2907" xr:uid="{8CD41D92-8BC4-4DB5-84AC-398A372BEC20}"/>
    <cellStyle name="Input 11 4 7" xfId="3274" xr:uid="{03A16950-B270-4324-B5BA-C3AAA92BBB1F}"/>
    <cellStyle name="Input 11 4 8" xfId="3630" xr:uid="{FE1369AA-EEA7-4478-8E06-7A6540E43DBF}"/>
    <cellStyle name="Input 11 5" xfId="743" xr:uid="{B3BD3CA6-60D3-4C5A-A275-31434035E26D}"/>
    <cellStyle name="Input 11 5 2" xfId="1366" xr:uid="{BCC318DF-0C73-4DCC-98AD-7FD33463B6D2}"/>
    <cellStyle name="Input 11 5 3" xfId="1756" xr:uid="{391FB20F-A230-426E-8BB6-110C3F5B8764}"/>
    <cellStyle name="Input 11 5 4" xfId="2143" xr:uid="{11465F5B-FBDB-434A-AB24-BEC13CCE1EEF}"/>
    <cellStyle name="Input 11 5 5" xfId="2528" xr:uid="{2CE86D59-EC10-4B96-AE4B-340E30DE8F22}"/>
    <cellStyle name="Input 11 5 6" xfId="2904" xr:uid="{6C024501-E003-4BA5-A661-3E65891E3D79}"/>
    <cellStyle name="Input 11 5 7" xfId="3271" xr:uid="{15E4E2A1-96A1-4C50-BF89-AA3A3F299706}"/>
    <cellStyle name="Input 11 5 8" xfId="3627" xr:uid="{4FF566C0-F89B-4B52-A1C2-E99115EFA9FD}"/>
    <cellStyle name="Input 11 6" xfId="894" xr:uid="{E71A974A-9BC2-443F-AFDB-30A66FF3416D}"/>
    <cellStyle name="Input 11 6 2" xfId="1515" xr:uid="{94B8CDAF-3C0C-4FA3-95DC-69568355DE53}"/>
    <cellStyle name="Input 11 6 3" xfId="1906" xr:uid="{279E302A-6ACE-46EA-B9FA-E8AA0A850B91}"/>
    <cellStyle name="Input 11 6 4" xfId="2292" xr:uid="{AC964E26-FCB3-4047-A75F-A0EC78EA0113}"/>
    <cellStyle name="Input 11 6 5" xfId="2678" xr:uid="{46E2C2DE-5FB4-4DE1-A89B-8565D2E4BDEB}"/>
    <cellStyle name="Input 11 6 6" xfId="3053" xr:uid="{EBC33321-6111-4627-B9D5-C2F533C7527D}"/>
    <cellStyle name="Input 11 6 7" xfId="3420" xr:uid="{9F306FEB-DF77-451A-A1F0-19F8F075BD96}"/>
    <cellStyle name="Input 11 6 8" xfId="3776" xr:uid="{EBA6B9B1-3EEB-4DAC-97D1-B5E3C1543955}"/>
    <cellStyle name="Input 11 7" xfId="698" xr:uid="{DE693BD1-8B15-4996-90BA-BBB5F0217DCE}"/>
    <cellStyle name="Input 11 7 2" xfId="1321" xr:uid="{C71307B7-9808-4FB7-8343-4611D2F87C16}"/>
    <cellStyle name="Input 11 7 3" xfId="1712" xr:uid="{094C46F3-E8A4-487F-9349-0CCC9214B7CA}"/>
    <cellStyle name="Input 11 7 4" xfId="2098" xr:uid="{B13934E9-CC15-4322-8693-1702734ABFC2}"/>
    <cellStyle name="Input 11 7 5" xfId="2484" xr:uid="{5AF5C419-78CD-48E0-8FAA-3CEC9BB518A5}"/>
    <cellStyle name="Input 11 7 6" xfId="2860" xr:uid="{F41376FF-3725-4673-822B-56A6E33EEF5D}"/>
    <cellStyle name="Input 11 7 7" xfId="3227" xr:uid="{8B45849D-02EF-4C10-8840-2DFD6EF87DAF}"/>
    <cellStyle name="Input 11 7 8" xfId="3583" xr:uid="{85ADBB00-C96C-4833-BF55-FE60B4B62228}"/>
    <cellStyle name="Input 11 8" xfId="785" xr:uid="{81326646-AD3A-45FB-94FE-B82EE229C244}"/>
    <cellStyle name="Input 11 8 2" xfId="1408" xr:uid="{98FFAD20-DDD9-4A66-8571-A98CFEF77DC6}"/>
    <cellStyle name="Input 11 8 3" xfId="1798" xr:uid="{0D4BDED5-04F8-412E-972D-B05F0F228F5C}"/>
    <cellStyle name="Input 11 8 4" xfId="2185" xr:uid="{D10C379A-91C8-48FA-B02F-CDC33D9B8535}"/>
    <cellStyle name="Input 11 8 5" xfId="2570" xr:uid="{C8F26900-EECD-4B06-AC03-DAEB79F39E61}"/>
    <cellStyle name="Input 11 8 6" xfId="2946" xr:uid="{5E6BE2C5-D3EB-48B0-B8D6-C7DFBB439DA6}"/>
    <cellStyle name="Input 11 8 7" xfId="3313" xr:uid="{D74C8761-5F5E-4BEA-A08B-A08A11ACA5B1}"/>
    <cellStyle name="Input 11 8 8" xfId="3669" xr:uid="{4DD38B01-2483-4D70-B5DD-DA2973E85CA2}"/>
    <cellStyle name="Input 11 9" xfId="1159" xr:uid="{9392761A-E2BE-4D82-BBBB-AD91C38A10AB}"/>
    <cellStyle name="Input 12" xfId="456" xr:uid="{844E7112-01C6-4A77-87B3-5CF53AC5CAF1}"/>
    <cellStyle name="Input 12 10" xfId="1072" xr:uid="{4DB3D980-0164-49ED-989E-2927F5CE848C}"/>
    <cellStyle name="Input 12 11" xfId="159" xr:uid="{70D5521D-FFAA-4818-92D4-F90CE6D6A016}"/>
    <cellStyle name="Input 12 12" xfId="2001" xr:uid="{E7C41F75-4DB4-4C58-A301-346D1DF9ED38}"/>
    <cellStyle name="Input 12 13" xfId="167" xr:uid="{927187CF-5892-4A66-BB77-F952F9E16A31}"/>
    <cellStyle name="Input 12 14" xfId="2769" xr:uid="{4DFCA543-2B21-4BF1-9A35-EC21F41793F2}"/>
    <cellStyle name="Input 12 15" xfId="1131" xr:uid="{07418196-2246-4978-9207-A9F181AB0E8C}"/>
    <cellStyle name="Input 12 2" xfId="772" xr:uid="{DB68E064-B04B-4513-8982-23F3944F159F}"/>
    <cellStyle name="Input 12 2 2" xfId="1395" xr:uid="{DB9DB863-B1A8-4B41-A6B5-991AA0CB6E48}"/>
    <cellStyle name="Input 12 2 3" xfId="1785" xr:uid="{BB09DBCC-AA3D-497C-BE0B-2F20778F8842}"/>
    <cellStyle name="Input 12 2 4" xfId="2172" xr:uid="{22D86B4F-E950-478B-A8D0-771E7484EB4F}"/>
    <cellStyle name="Input 12 2 5" xfId="2557" xr:uid="{22F0CD90-56D2-45F2-8506-EB42EBD76373}"/>
    <cellStyle name="Input 12 2 6" xfId="2933" xr:uid="{95CF4D3F-7D00-4892-A4A9-87F6876935E1}"/>
    <cellStyle name="Input 12 2 7" xfId="3300" xr:uid="{410836AF-E863-444A-9764-424BECDA643B}"/>
    <cellStyle name="Input 12 2 8" xfId="3656" xr:uid="{C8C74514-0876-4C2F-9CBC-EE9D4633A6A5}"/>
    <cellStyle name="Input 12 3" xfId="863" xr:uid="{FB3B4165-BC11-4115-9476-D551A7667E1F}"/>
    <cellStyle name="Input 12 3 2" xfId="1485" xr:uid="{252ADFFF-598B-40B1-B107-B8F6E30F3257}"/>
    <cellStyle name="Input 12 3 3" xfId="1875" xr:uid="{006888CF-1A28-47A2-830C-204408AC05D0}"/>
    <cellStyle name="Input 12 3 4" xfId="2262" xr:uid="{F082B046-5DB0-45DA-943D-937EEE532112}"/>
    <cellStyle name="Input 12 3 5" xfId="2647" xr:uid="{2901F41E-63DF-4FEA-9E6B-99FA31EC0D6C}"/>
    <cellStyle name="Input 12 3 6" xfId="3023" xr:uid="{20642838-0540-4EEB-AD1E-706290F32EB6}"/>
    <cellStyle name="Input 12 3 7" xfId="3390" xr:uid="{C4375872-7CA5-49BC-B124-78DB88B27C08}"/>
    <cellStyle name="Input 12 3 8" xfId="3746" xr:uid="{9EF5C557-3D27-424B-97C4-EEAA059902DB}"/>
    <cellStyle name="Input 12 4" xfId="783" xr:uid="{D042DC70-1D59-4A0B-B365-8C2FC83F5001}"/>
    <cellStyle name="Input 12 4 2" xfId="1406" xr:uid="{DB842497-C48F-457D-ABBD-BF62EAFD58D6}"/>
    <cellStyle name="Input 12 4 3" xfId="1796" xr:uid="{1A320DE8-381E-4E7B-BF34-DE1EDD7D0FCF}"/>
    <cellStyle name="Input 12 4 4" xfId="2183" xr:uid="{B7122B18-E429-4678-BA7E-EFCB95C8D1A8}"/>
    <cellStyle name="Input 12 4 5" xfId="2568" xr:uid="{AA4C8200-F8B8-45C7-84B6-A51BCD319802}"/>
    <cellStyle name="Input 12 4 6" xfId="2944" xr:uid="{25FA601B-16BA-4461-B622-25964FE7A27A}"/>
    <cellStyle name="Input 12 4 7" xfId="3311" xr:uid="{5F1629C0-67F6-44AA-AC7C-EECAC3375C7E}"/>
    <cellStyle name="Input 12 4 8" xfId="3667" xr:uid="{45390AA2-062F-474B-939A-093962CD7800}"/>
    <cellStyle name="Input 12 5" xfId="916" xr:uid="{3A8472AD-3B16-4971-8DFD-8C520AED964D}"/>
    <cellStyle name="Input 12 5 2" xfId="1537" xr:uid="{BD938EC0-8462-4281-9ACB-4E45E62EB6C4}"/>
    <cellStyle name="Input 12 5 3" xfId="1928" xr:uid="{F85FF62F-63BE-4876-96F4-C8C2F185A772}"/>
    <cellStyle name="Input 12 5 4" xfId="2314" xr:uid="{5A5DAE06-C139-4431-BEA1-BA90DEA42187}"/>
    <cellStyle name="Input 12 5 5" xfId="2700" xr:uid="{0C1647D9-66B0-46E5-8198-5CD5A146E70E}"/>
    <cellStyle name="Input 12 5 6" xfId="3075" xr:uid="{4CB4FF9B-3D85-4E1A-8C2C-475C1F20BC21}"/>
    <cellStyle name="Input 12 5 7" xfId="3442" xr:uid="{082CC71B-A826-407D-B81C-E5A5DB975E23}"/>
    <cellStyle name="Input 12 5 8" xfId="3798" xr:uid="{2D7B9D08-2435-4222-A790-E31A937D19D5}"/>
    <cellStyle name="Input 12 6" xfId="939" xr:uid="{33761AA2-A63B-4C28-AEA1-2F2F45AB9084}"/>
    <cellStyle name="Input 12 6 2" xfId="1560" xr:uid="{C6294FB2-55C7-41BC-A42D-6E97A3148931}"/>
    <cellStyle name="Input 12 6 3" xfId="1951" xr:uid="{229A3D7A-044C-4153-AF9D-D7B246A560D9}"/>
    <cellStyle name="Input 12 6 4" xfId="2337" xr:uid="{8C553197-93F5-4878-AF9F-956206D1813B}"/>
    <cellStyle name="Input 12 6 5" xfId="2723" xr:uid="{71143108-8821-41CA-B681-0CDF8760A39E}"/>
    <cellStyle name="Input 12 6 6" xfId="3098" xr:uid="{FCFE3F66-62C5-4D7A-90DE-02BEAACB2257}"/>
    <cellStyle name="Input 12 6 7" xfId="3465" xr:uid="{99785A49-92CA-42C8-B6E9-9A3F836D0843}"/>
    <cellStyle name="Input 12 6 8" xfId="3820" xr:uid="{5E61ECE6-2DD3-4CA6-9FED-94F5B0B6B5B5}"/>
    <cellStyle name="Input 12 7" xfId="902" xr:uid="{9E65169B-2320-495D-900D-32CD261C7A24}"/>
    <cellStyle name="Input 12 7 2" xfId="1523" xr:uid="{4DC0A86E-5FD9-42D3-B872-00CD3FAE7FE4}"/>
    <cellStyle name="Input 12 7 3" xfId="1914" xr:uid="{C740E721-12E5-48AF-83B7-46BB4AC59F9F}"/>
    <cellStyle name="Input 12 7 4" xfId="2300" xr:uid="{15ECFEA5-EF15-4614-9A7C-133815052078}"/>
    <cellStyle name="Input 12 7 5" xfId="2686" xr:uid="{7E159FCF-38A5-4D6E-9EC1-904F6C532C80}"/>
    <cellStyle name="Input 12 7 6" xfId="3061" xr:uid="{03775E63-09DB-4E77-A298-64910B1AA98E}"/>
    <cellStyle name="Input 12 7 7" xfId="3428" xr:uid="{D7D42A55-E96F-4134-95E3-61BC0F928EA5}"/>
    <cellStyle name="Input 12 7 8" xfId="3784" xr:uid="{0B53A48E-C115-4A3E-B5E8-CE6B322C3B6F}"/>
    <cellStyle name="Input 12 8" xfId="620" xr:uid="{1CC97049-39E4-474C-A28B-58CBAAA8976F}"/>
    <cellStyle name="Input 12 8 2" xfId="1244" xr:uid="{B0DEE76C-F16E-447B-AE63-8D9847BD3199}"/>
    <cellStyle name="Input 12 8 3" xfId="1635" xr:uid="{A55B60A8-BD99-4A3E-BB80-CDE74A621E7A}"/>
    <cellStyle name="Input 12 8 4" xfId="2022" xr:uid="{773BE60D-9846-4B2E-85BC-479588CB6D0D}"/>
    <cellStyle name="Input 12 8 5" xfId="2407" xr:uid="{10821FCD-2D1E-4CB7-89F3-6273A27664A2}"/>
    <cellStyle name="Input 12 8 6" xfId="2784" xr:uid="{5AE68394-1388-481A-87F6-BB25A5536B91}"/>
    <cellStyle name="Input 12 8 7" xfId="3150" xr:uid="{77645818-E296-4474-846C-E51DE98C9AC2}"/>
    <cellStyle name="Input 12 8 8" xfId="3507" xr:uid="{49E1CFD8-8A72-4860-A97E-13AC508CEC2C}"/>
    <cellStyle name="Input 12 9" xfId="1143" xr:uid="{AB754E50-D6AF-4647-A003-2E426DD01BD8}"/>
    <cellStyle name="Input 13" xfId="479" xr:uid="{418E5CBD-114F-490B-B5B0-1593115F20BA}"/>
    <cellStyle name="Input 13 10" xfId="1015" xr:uid="{1063E237-2E41-4F5F-B775-5C644F3BB850}"/>
    <cellStyle name="Input 13 11" xfId="1121" xr:uid="{F1A61623-3A35-4287-A38F-0331D7A39AA8}"/>
    <cellStyle name="Input 13 12" xfId="1347" xr:uid="{8679EABA-9BB3-4813-B7CA-87D1102ED71D}"/>
    <cellStyle name="Input 13 13" xfId="2013" xr:uid="{F12ADA35-4B8E-4B8B-BADE-B1DF514D0166}"/>
    <cellStyle name="Input 13 14" xfId="981" xr:uid="{0505DE69-BFCD-4DFD-8704-81A679DD696D}"/>
    <cellStyle name="Input 13 15" xfId="2777" xr:uid="{0B14C0B7-592B-4425-A131-8D5672C9360A}"/>
    <cellStyle name="Input 13 2" xfId="788" xr:uid="{DEF4CD13-4C0A-405D-9E0D-EA2BE4547FCA}"/>
    <cellStyle name="Input 13 2 2" xfId="1411" xr:uid="{62ACA766-7CEF-499A-8A10-C13DA4A2A992}"/>
    <cellStyle name="Input 13 2 3" xfId="1801" xr:uid="{AC542C82-6D6E-4486-8336-8B82A4B02FC7}"/>
    <cellStyle name="Input 13 2 4" xfId="2188" xr:uid="{D1B69BC7-D78A-47BF-AD01-570A9BD5AF93}"/>
    <cellStyle name="Input 13 2 5" xfId="2573" xr:uid="{B6A7C623-B84A-434E-A272-93EC983CFE89}"/>
    <cellStyle name="Input 13 2 6" xfId="2949" xr:uid="{8782F25D-C94B-4089-B9E8-D9FB080E9340}"/>
    <cellStyle name="Input 13 2 7" xfId="3316" xr:uid="{CF937B26-8D18-454D-B53B-2C4785EF4DB0}"/>
    <cellStyle name="Input 13 2 8" xfId="3672" xr:uid="{CEFBE560-5FA5-4D79-A04B-45D96269AB8C}"/>
    <cellStyle name="Input 13 3" xfId="183" xr:uid="{4865453A-AD59-4D27-8F6B-36209EC90A68}"/>
    <cellStyle name="Input 13 3 2" xfId="146" xr:uid="{0EAD9491-7CCB-4F7D-A315-834041DAE9B3}"/>
    <cellStyle name="Input 13 3 3" xfId="994" xr:uid="{0C960C07-5BF0-4F3E-8F3E-4AAD5A1E9757}"/>
    <cellStyle name="Input 13 3 4" xfId="1146" xr:uid="{BCC36E22-2B08-4EFA-8C44-86D69C83F8AD}"/>
    <cellStyle name="Input 13 3 5" xfId="155" xr:uid="{B5061E55-B24E-45D1-8F30-B78A01771CAA}"/>
    <cellStyle name="Input 13 3 6" xfId="1188" xr:uid="{FE071F0A-C716-4CE5-B6C1-9A0BD8A029E0}"/>
    <cellStyle name="Input 13 3 7" xfId="404" xr:uid="{90D69C5D-4C87-4696-B7B2-036D828E4AA6}"/>
    <cellStyle name="Input 13 3 8" xfId="1187" xr:uid="{E1E5F6EE-B05B-43EA-8496-076F42E0EED6}"/>
    <cellStyle name="Input 13 4" xfId="887" xr:uid="{FD89F04E-D3BD-4ACD-A7AE-4E24EEB3B259}"/>
    <cellStyle name="Input 13 4 2" xfId="1508" xr:uid="{1731CD21-F82B-450A-9924-3A79FA77CA93}"/>
    <cellStyle name="Input 13 4 3" xfId="1899" xr:uid="{420EFA3F-8DFF-4A2F-8652-D62328B6AC60}"/>
    <cellStyle name="Input 13 4 4" xfId="2285" xr:uid="{FD6DD46D-C897-4F61-A842-3C8DBC3BA3F2}"/>
    <cellStyle name="Input 13 4 5" xfId="2671" xr:uid="{E4D56495-B703-432C-83DD-8DC8960079CE}"/>
    <cellStyle name="Input 13 4 6" xfId="3046" xr:uid="{2D791C28-40BC-44A8-9EA3-7893EE60343C}"/>
    <cellStyle name="Input 13 4 7" xfId="3413" xr:uid="{421B4C7A-57F6-4AD9-A048-93273143ACB6}"/>
    <cellStyle name="Input 13 4 8" xfId="3769" xr:uid="{E2875E74-180A-4F8F-B1C6-C92DB4683D56}"/>
    <cellStyle name="Input 13 5" xfId="758" xr:uid="{180D65B6-29C4-4475-A8E6-80B3B0CBDD79}"/>
    <cellStyle name="Input 13 5 2" xfId="1381" xr:uid="{CDFB2985-4670-4CA9-B7DD-763E9017A00A}"/>
    <cellStyle name="Input 13 5 3" xfId="1771" xr:uid="{18142299-5774-4505-8204-214E0C0599FA}"/>
    <cellStyle name="Input 13 5 4" xfId="2158" xr:uid="{1073A811-106A-4629-B509-E03E9FBE3354}"/>
    <cellStyle name="Input 13 5 5" xfId="2543" xr:uid="{7D18ED82-749E-40B0-85C3-0BDE4521BAD5}"/>
    <cellStyle name="Input 13 5 6" xfId="2919" xr:uid="{6738C3C2-F1C0-4F66-B106-0DCAFA3A146B}"/>
    <cellStyle name="Input 13 5 7" xfId="3286" xr:uid="{1EF27F1B-409B-41D4-8C45-F57BB26DB8F1}"/>
    <cellStyle name="Input 13 5 8" xfId="3642" xr:uid="{4D14320E-4D39-4562-8081-D3E7A293A274}"/>
    <cellStyle name="Input 13 6" xfId="684" xr:uid="{5A2FF894-7999-448F-A86C-DC345FD108E4}"/>
    <cellStyle name="Input 13 6 2" xfId="1307" xr:uid="{0E3BFB38-3562-4690-8644-5CEA42F3A6C7}"/>
    <cellStyle name="Input 13 6 3" xfId="1698" xr:uid="{F98675F7-B1CD-43E1-BA36-CCDF0F44ABE4}"/>
    <cellStyle name="Input 13 6 4" xfId="2084" xr:uid="{81B35CAC-0238-4008-8879-47D69BBF498A}"/>
    <cellStyle name="Input 13 6 5" xfId="2470" xr:uid="{5B154359-ABA1-4E1C-90B6-E57ABCD78C2C}"/>
    <cellStyle name="Input 13 6 6" xfId="2846" xr:uid="{C58148EB-B220-4BC9-8822-2E10F6DDEFA2}"/>
    <cellStyle name="Input 13 6 7" xfId="3213" xr:uid="{F885144F-ACA4-4148-AB97-B2B61856FBF6}"/>
    <cellStyle name="Input 13 6 8" xfId="3569" xr:uid="{B5DF88C0-563E-40DA-942A-592A038EACFA}"/>
    <cellStyle name="Input 13 7" xfId="852" xr:uid="{87128FC3-A837-42BA-A76E-9E8F0BF940D9}"/>
    <cellStyle name="Input 13 7 2" xfId="1474" xr:uid="{1036F312-F808-4C76-89CB-51B59BE42D85}"/>
    <cellStyle name="Input 13 7 3" xfId="1864" xr:uid="{9FCA0F05-4EF7-4208-96D2-5B42FED61461}"/>
    <cellStyle name="Input 13 7 4" xfId="2251" xr:uid="{D967D3A1-F585-4A9B-A400-31387967F268}"/>
    <cellStyle name="Input 13 7 5" xfId="2636" xr:uid="{E0203BE9-7309-4EFB-9A3B-21A2CB6A5F7C}"/>
    <cellStyle name="Input 13 7 6" xfId="3012" xr:uid="{52F723D6-2628-47EE-A2C0-41CFE7330479}"/>
    <cellStyle name="Input 13 7 7" xfId="3379" xr:uid="{C44F3C35-8E04-4276-B1F1-3725B92EF67B}"/>
    <cellStyle name="Input 13 7 8" xfId="3735" xr:uid="{015ECD5A-918C-45DD-9201-C2A5CF020C85}"/>
    <cellStyle name="Input 13 8" xfId="965" xr:uid="{14FB142A-419B-4DFF-8866-90BB91226566}"/>
    <cellStyle name="Input 13 8 2" xfId="1586" xr:uid="{7449884B-D95A-4452-A65F-240301E37A70}"/>
    <cellStyle name="Input 13 8 3" xfId="1977" xr:uid="{9F7B5795-4D90-4F45-BAB3-5D2D49FE0EC2}"/>
    <cellStyle name="Input 13 8 4" xfId="2363" xr:uid="{8CACA2DD-A7B1-4546-A78E-51F408977A55}"/>
    <cellStyle name="Input 13 8 5" xfId="2749" xr:uid="{9F1908E4-E1F3-45DF-90A9-695B6882218B}"/>
    <cellStyle name="Input 13 8 6" xfId="3124" xr:uid="{39CEE01A-071D-48F5-AC9E-AEDDCB2536E7}"/>
    <cellStyle name="Input 13 8 7" xfId="3491" xr:uid="{6EF300FF-9FAD-482E-A17A-8280BFA74654}"/>
    <cellStyle name="Input 13 8 8" xfId="3846" xr:uid="{39E5352B-2C6D-44E2-BF94-9220C3DC5481}"/>
    <cellStyle name="Input 13 9" xfId="1158" xr:uid="{EA2AF0C9-36A0-478D-8DA0-04BD76436FD4}"/>
    <cellStyle name="Input 14" xfId="454" xr:uid="{AADE0650-3334-4C2D-BE3B-53F82497DE9C}"/>
    <cellStyle name="Input 14 10" xfId="1103" xr:uid="{088C5EE0-0223-49ED-97F8-2FFBF82E94B3}"/>
    <cellStyle name="Input 14 11" xfId="1065" xr:uid="{8D3AAAF8-5B5F-44B1-BB67-0FE8D218927B}"/>
    <cellStyle name="Input 14 12" xfId="982" xr:uid="{9FEE0F6E-7718-424C-B8BC-16645A33F453}"/>
    <cellStyle name="Input 14 13" xfId="2389" xr:uid="{3BD6715A-AAF5-4978-9218-135FAB4FE5C4}"/>
    <cellStyle name="Input 14 14" xfId="2124" xr:uid="{E5DC8A17-079A-4B45-B5C5-4D16E7C64571}"/>
    <cellStyle name="Input 14 15" xfId="3140" xr:uid="{EC4E1270-5236-408F-871C-7C2819312A2B}"/>
    <cellStyle name="Input 14 2" xfId="770" xr:uid="{2E53E7A6-AF12-4539-A03F-5FAB60A82C73}"/>
    <cellStyle name="Input 14 2 2" xfId="1393" xr:uid="{A2F6FC39-2A49-41C9-BBAB-00E9134EEED6}"/>
    <cellStyle name="Input 14 2 3" xfId="1783" xr:uid="{4E419B64-73FE-4044-BCB1-448D7AF52595}"/>
    <cellStyle name="Input 14 2 4" xfId="2170" xr:uid="{22CB041A-1483-4E43-ADDF-5463718CF054}"/>
    <cellStyle name="Input 14 2 5" xfId="2555" xr:uid="{E7174F1E-1F05-40BA-8940-8FD0440DE789}"/>
    <cellStyle name="Input 14 2 6" xfId="2931" xr:uid="{FFA64C39-D4CE-46BC-BB10-8D11028932BB}"/>
    <cellStyle name="Input 14 2 7" xfId="3298" xr:uid="{53F862E0-51CB-4448-9DC8-1B83B88D4FCB}"/>
    <cellStyle name="Input 14 2 8" xfId="3654" xr:uid="{97E6313F-BF5F-473D-99E4-609C41FF7317}"/>
    <cellStyle name="Input 14 3" xfId="668" xr:uid="{A9157DB4-EC74-46AF-A809-47B97BF2CB80}"/>
    <cellStyle name="Input 14 3 2" xfId="1292" xr:uid="{DC11DF59-6205-403E-BF96-E6E49831C5EA}"/>
    <cellStyle name="Input 14 3 3" xfId="1683" xr:uid="{796AA62B-4728-4718-B53F-7B9ED3576539}"/>
    <cellStyle name="Input 14 3 4" xfId="2069" xr:uid="{999E66C9-26AE-4B23-AC4D-47351E224A85}"/>
    <cellStyle name="Input 14 3 5" xfId="2455" xr:uid="{BCEEE812-5D6D-4D74-A8F3-75DA58098E26}"/>
    <cellStyle name="Input 14 3 6" xfId="2831" xr:uid="{1AE548CE-35CD-44E9-BD03-7AF3FCFAF786}"/>
    <cellStyle name="Input 14 3 7" xfId="3198" xr:uid="{2D0E242E-E70F-4596-A26C-40BDCD945FEC}"/>
    <cellStyle name="Input 14 3 8" xfId="3554" xr:uid="{3A722141-6E64-4EEA-BCBA-E62118E891AF}"/>
    <cellStyle name="Input 14 4" xfId="891" xr:uid="{0861DA1C-798A-433B-BADD-FC8A1BE5DC78}"/>
    <cellStyle name="Input 14 4 2" xfId="1512" xr:uid="{4D0BB4F0-8A4A-4579-A196-8D2D2B2D2637}"/>
    <cellStyle name="Input 14 4 3" xfId="1903" xr:uid="{220A7A22-0EA8-4802-AF28-F3E7DB1B10DF}"/>
    <cellStyle name="Input 14 4 4" xfId="2289" xr:uid="{FFDEC261-DB99-4400-BB00-83F7CA3BEED0}"/>
    <cellStyle name="Input 14 4 5" xfId="2675" xr:uid="{8C921EE9-B504-461B-B0C4-CC56C20198CB}"/>
    <cellStyle name="Input 14 4 6" xfId="3050" xr:uid="{140B572E-2363-4B45-A56F-40093442164A}"/>
    <cellStyle name="Input 14 4 7" xfId="3417" xr:uid="{CD6D71AD-EE55-4794-9F09-617E4E4C5728}"/>
    <cellStyle name="Input 14 4 8" xfId="3773" xr:uid="{211476A4-3E5B-4562-A883-8CF6464D445B}"/>
    <cellStyle name="Input 14 5" xfId="669" xr:uid="{B101FE9F-DD09-421B-9D82-CE1298B6C030}"/>
    <cellStyle name="Input 14 5 2" xfId="1293" xr:uid="{ABA49D59-4060-41A0-8794-A81CF471004B}"/>
    <cellStyle name="Input 14 5 3" xfId="1684" xr:uid="{614D8EBD-CFB7-48AC-8889-E3AAC3BB2FF5}"/>
    <cellStyle name="Input 14 5 4" xfId="2070" xr:uid="{CEE894D6-ABCA-4482-8626-3A14AA84B6AD}"/>
    <cellStyle name="Input 14 5 5" xfId="2456" xr:uid="{CD0F96CB-A2AC-4FD9-A047-6B47FAAC2B91}"/>
    <cellStyle name="Input 14 5 6" xfId="2832" xr:uid="{CE2F01D0-A384-4986-BB6B-6F199BB5635F}"/>
    <cellStyle name="Input 14 5 7" xfId="3199" xr:uid="{ED082697-267C-4DAA-AD6D-B13D9F6198D9}"/>
    <cellStyle name="Input 14 5 8" xfId="3555" xr:uid="{B7322495-481A-4B77-B59A-5FC8A520CBB2}"/>
    <cellStyle name="Input 14 6" xfId="745" xr:uid="{9663092F-C81D-460D-A6BF-5F4567A9A49C}"/>
    <cellStyle name="Input 14 6 2" xfId="1368" xr:uid="{D7E14479-FDF9-4B06-AD79-3BE4462D7BFD}"/>
    <cellStyle name="Input 14 6 3" xfId="1758" xr:uid="{6C5F23D8-55A9-44B1-B443-EA46ED4FE919}"/>
    <cellStyle name="Input 14 6 4" xfId="2145" xr:uid="{E3FCE5FE-D66E-40E8-B7E3-367E20991D27}"/>
    <cellStyle name="Input 14 6 5" xfId="2530" xr:uid="{521306CC-B57B-418B-B916-03D33E32D7EB}"/>
    <cellStyle name="Input 14 6 6" xfId="2906" xr:uid="{39FF8C6F-3CE2-40A6-8013-FB9CA046B0A1}"/>
    <cellStyle name="Input 14 6 7" xfId="3273" xr:uid="{D8C6DE7A-21A1-474F-945D-DAB7972D25F0}"/>
    <cellStyle name="Input 14 6 8" xfId="3629" xr:uid="{36A46108-69F5-4EED-A25B-31E2B898354B}"/>
    <cellStyle name="Input 14 7" xfId="955" xr:uid="{1B9ECE1E-4AD0-4073-9254-2D50F8B93C79}"/>
    <cellStyle name="Input 14 7 2" xfId="1576" xr:uid="{C65E92E5-D816-4237-8ACC-D9CDCC60A635}"/>
    <cellStyle name="Input 14 7 3" xfId="1967" xr:uid="{9BE402C0-2DE2-4763-B236-7DE44776ED7F}"/>
    <cellStyle name="Input 14 7 4" xfId="2353" xr:uid="{444DA343-D980-4834-BB17-D5331D188036}"/>
    <cellStyle name="Input 14 7 5" xfId="2739" xr:uid="{80A4326C-38E0-40BC-8BDB-BB373F8E3989}"/>
    <cellStyle name="Input 14 7 6" xfId="3114" xr:uid="{A79198B4-3086-4A2E-A21E-DBE4CA5F71CA}"/>
    <cellStyle name="Input 14 7 7" xfId="3481" xr:uid="{ECD5D816-3797-4AE7-938B-AFCEA436D580}"/>
    <cellStyle name="Input 14 7 8" xfId="3836" xr:uid="{70BA79FB-846A-4789-B5BA-35FF27143F05}"/>
    <cellStyle name="Input 14 8" xfId="968" xr:uid="{D356EB59-C670-47EF-83A4-FCD537B50FB8}"/>
    <cellStyle name="Input 14 8 2" xfId="1589" xr:uid="{A77FC15E-1029-498D-A51A-62371A4AD8E0}"/>
    <cellStyle name="Input 14 8 3" xfId="1980" xr:uid="{7A3E850F-8DC7-466E-ACF5-8D61546A254A}"/>
    <cellStyle name="Input 14 8 4" xfId="2366" xr:uid="{49011DED-38AE-4F6A-AF26-9F8A2D15E888}"/>
    <cellStyle name="Input 14 8 5" xfId="2752" xr:uid="{8C7D9DDC-1286-4DC2-BFBE-DD393C8B9195}"/>
    <cellStyle name="Input 14 8 6" xfId="3127" xr:uid="{249F8D78-0EA6-4AEF-B38C-AE0143DB0C7B}"/>
    <cellStyle name="Input 14 8 7" xfId="3494" xr:uid="{A4E7E956-C17F-4A29-A612-D859340BC81A}"/>
    <cellStyle name="Input 14 8 8" xfId="3849" xr:uid="{B02F236E-1016-49D5-B885-9152E62A9DDD}"/>
    <cellStyle name="Input 14 9" xfId="1142" xr:uid="{78801A39-109F-4BB8-ACBD-92C9D5E5F9B7}"/>
    <cellStyle name="Input 15" xfId="481" xr:uid="{EC0379BA-4B13-44B0-ADA7-8E81A792B234}"/>
    <cellStyle name="Input 15 10" xfId="997" xr:uid="{B2BE4248-8966-4870-9AA4-6A7024DBDD06}"/>
    <cellStyle name="Input 15 11" xfId="1218" xr:uid="{2496D3B5-481F-4A7A-97F5-6DC741F6AD98}"/>
    <cellStyle name="Input 15 12" xfId="1627" xr:uid="{6A2FADB9-940C-490D-9633-784A2FFB4480}"/>
    <cellStyle name="Input 15 13" xfId="1038" xr:uid="{EE9B588B-91BE-4FAC-A963-8E0497E4C017}"/>
    <cellStyle name="Input 15 14" xfId="977" xr:uid="{B8FB6E1A-6AC2-4B77-9BB0-E4B406E033A1}"/>
    <cellStyle name="Input 15 15" xfId="2393" xr:uid="{BC637D3D-9149-4D1B-961E-4094799AD47A}"/>
    <cellStyle name="Input 15 2" xfId="790" xr:uid="{8D4F9448-1203-449A-BB7D-F3EAABB5D8BF}"/>
    <cellStyle name="Input 15 2 2" xfId="1413" xr:uid="{38162231-C418-4A96-AFD6-5C217E96DA15}"/>
    <cellStyle name="Input 15 2 3" xfId="1803" xr:uid="{D06C7025-4F6C-4841-8497-718E52CF0E87}"/>
    <cellStyle name="Input 15 2 4" xfId="2190" xr:uid="{7CE1784E-E1F6-4480-BCD5-02629335010E}"/>
    <cellStyle name="Input 15 2 5" xfId="2575" xr:uid="{B9DFA8C4-392E-40CA-ADE8-C74E3BD22829}"/>
    <cellStyle name="Input 15 2 6" xfId="2951" xr:uid="{3813A6DA-4490-471E-A730-FB9207BA5AF8}"/>
    <cellStyle name="Input 15 2 7" xfId="3318" xr:uid="{76FEC0D1-E329-41B5-9029-A5208FB26E83}"/>
    <cellStyle name="Input 15 2 8" xfId="3674" xr:uid="{04445C43-E4AA-4FE9-81C3-31FE27EF7189}"/>
    <cellStyle name="Input 15 3" xfId="372" xr:uid="{25C578FC-FB8C-4B0E-AD03-B4F435BEDB87}"/>
    <cellStyle name="Input 15 3 2" xfId="1084" xr:uid="{B9A30536-BF35-44D0-98D6-CC1C3EAB73A2}"/>
    <cellStyle name="Input 15 3 3" xfId="1262" xr:uid="{9C44A785-7FF3-49CA-BCD2-46C2FE4C0791}"/>
    <cellStyle name="Input 15 3 4" xfId="1653" xr:uid="{F2035E6F-5CAB-42FC-B6AC-9F9C217805A8}"/>
    <cellStyle name="Input 15 3 5" xfId="2317" xr:uid="{E7B25C41-C101-4E53-95F6-E3C4D7CFC52E}"/>
    <cellStyle name="Input 15 3 6" xfId="2425" xr:uid="{53066A21-7CAE-405D-AD08-86B21CD096B0}"/>
    <cellStyle name="Input 15 3 7" xfId="3078" xr:uid="{AD785368-EC73-4CE9-960E-5C35726BB0E3}"/>
    <cellStyle name="Input 15 3 8" xfId="3168" xr:uid="{1AE468C5-6D2F-4AAF-B91F-B0AB545BDC28}"/>
    <cellStyle name="Input 15 4" xfId="793" xr:uid="{A489C41F-9757-4265-996E-7597F84E6498}"/>
    <cellStyle name="Input 15 4 2" xfId="1416" xr:uid="{2F32CD02-8C8D-49A2-B64B-9EB6DED75128}"/>
    <cellStyle name="Input 15 4 3" xfId="1806" xr:uid="{ADD4A126-19FA-4698-96B5-4E5DFDDCF1FE}"/>
    <cellStyle name="Input 15 4 4" xfId="2193" xr:uid="{9B51CFF6-4A5F-453E-A67A-0DB6B96B0442}"/>
    <cellStyle name="Input 15 4 5" xfId="2578" xr:uid="{F51E7004-A217-42C2-A0EA-4CE4784E6BAF}"/>
    <cellStyle name="Input 15 4 6" xfId="2954" xr:uid="{53E5C498-7555-460A-97C2-713C0DBC2A8F}"/>
    <cellStyle name="Input 15 4 7" xfId="3321" xr:uid="{4EE97CE3-B3B2-4B93-983C-727674DC56DD}"/>
    <cellStyle name="Input 15 4 8" xfId="3677" xr:uid="{4263830C-F41C-4DB7-9D10-00499D893442}"/>
    <cellStyle name="Input 15 5" xfId="906" xr:uid="{E5196F2D-E41A-456C-A698-71430E0FD2F3}"/>
    <cellStyle name="Input 15 5 2" xfId="1527" xr:uid="{756043A6-8F04-42B4-A24E-D343E34D2047}"/>
    <cellStyle name="Input 15 5 3" xfId="1918" xr:uid="{2AC6CCBC-455A-433A-8045-88F69A12B45B}"/>
    <cellStyle name="Input 15 5 4" xfId="2304" xr:uid="{1F10B0E0-74B0-48C9-B837-E9710C31E921}"/>
    <cellStyle name="Input 15 5 5" xfId="2690" xr:uid="{9AFF7B84-08D2-473E-945E-7EA1ECF88998}"/>
    <cellStyle name="Input 15 5 6" xfId="3065" xr:uid="{3E0DA626-9930-4E6A-A151-D465836D0735}"/>
    <cellStyle name="Input 15 5 7" xfId="3432" xr:uid="{6C2684FD-345F-4FE3-B061-17A0F2821B84}"/>
    <cellStyle name="Input 15 5 8" xfId="3788" xr:uid="{26D2465D-CA34-47CD-9982-DB5ADC5EAC88}"/>
    <cellStyle name="Input 15 6" xfId="928" xr:uid="{0749C50F-297E-4E71-8429-0DE6986F4725}"/>
    <cellStyle name="Input 15 6 2" xfId="1549" xr:uid="{429D27D4-A599-4A51-BCA8-42E1620BC06A}"/>
    <cellStyle name="Input 15 6 3" xfId="1940" xr:uid="{2D709F84-2D95-4ECA-81A6-338A6C866734}"/>
    <cellStyle name="Input 15 6 4" xfId="2326" xr:uid="{33822C0C-7C68-4201-9623-9727401C4147}"/>
    <cellStyle name="Input 15 6 5" xfId="2712" xr:uid="{251C1D62-FC26-49D7-B07F-B786567B9E45}"/>
    <cellStyle name="Input 15 6 6" xfId="3087" xr:uid="{225E7C32-438C-4AE5-93EF-34065D4816AE}"/>
    <cellStyle name="Input 15 6 7" xfId="3454" xr:uid="{EA9CE3C2-251D-4032-98F9-A2BBF786E616}"/>
    <cellStyle name="Input 15 6 8" xfId="3809" xr:uid="{F456F92A-447C-40C1-A781-8836A95BB944}"/>
    <cellStyle name="Input 15 7" xfId="766" xr:uid="{F78F674D-5A98-4CE8-ACB3-F55BBDE5A8E2}"/>
    <cellStyle name="Input 15 7 2" xfId="1389" xr:uid="{20D10805-AABC-41F9-B4D1-A1ECEB52980F}"/>
    <cellStyle name="Input 15 7 3" xfId="1779" xr:uid="{89BCB392-E991-49F5-9D77-8A7C0254867E}"/>
    <cellStyle name="Input 15 7 4" xfId="2166" xr:uid="{14A2F335-359C-4C76-BF44-5AD4FB88C5A9}"/>
    <cellStyle name="Input 15 7 5" xfId="2551" xr:uid="{A91EC746-6CDA-4E9E-BC32-34A49FE3B09A}"/>
    <cellStyle name="Input 15 7 6" xfId="2927" xr:uid="{91D615C4-8F07-49B5-A24B-CD9A9DEB0714}"/>
    <cellStyle name="Input 15 7 7" xfId="3294" xr:uid="{023F0E97-4870-4731-9845-76EF4F708066}"/>
    <cellStyle name="Input 15 7 8" xfId="3650" xr:uid="{52DB5302-20E1-430D-9A6B-E34F53A573C3}"/>
    <cellStyle name="Input 15 8" xfId="940" xr:uid="{2BFE1803-57E5-44A7-A876-4C11B502ABE6}"/>
    <cellStyle name="Input 15 8 2" xfId="1561" xr:uid="{58FDA48D-CABF-47D7-A046-70D2439A6E5B}"/>
    <cellStyle name="Input 15 8 3" xfId="1952" xr:uid="{2CC480A7-FA79-4F25-B9D4-B4D501335A53}"/>
    <cellStyle name="Input 15 8 4" xfId="2338" xr:uid="{C497C216-7693-48E8-908A-611DBA91D42E}"/>
    <cellStyle name="Input 15 8 5" xfId="2724" xr:uid="{2DCA3AC1-EFE7-42D1-A52C-73101A93A04F}"/>
    <cellStyle name="Input 15 8 6" xfId="3099" xr:uid="{2FADD3A0-992C-4C39-AA4D-BFD27342BF7B}"/>
    <cellStyle name="Input 15 8 7" xfId="3466" xr:uid="{46354E13-42B8-4285-A16C-9DD6B981E17B}"/>
    <cellStyle name="Input 15 8 8" xfId="3821" xr:uid="{4132F06F-A199-4E8F-938D-7B872318DCA4}"/>
    <cellStyle name="Input 15 9" xfId="1160" xr:uid="{9AB7DD22-9227-4377-B956-17C6AE800007}"/>
    <cellStyle name="Input 16" xfId="472" xr:uid="{F8253C7C-D1D1-48C1-9AD6-712EFB5C1C17}"/>
    <cellStyle name="Input 16 10" xfId="985" xr:uid="{D3938470-26EF-4758-BA35-1740D82E5824}"/>
    <cellStyle name="Input 16 11" xfId="1149" xr:uid="{A90662AB-CD29-48AD-9676-C843DB6DACF5}"/>
    <cellStyle name="Input 16 12" xfId="1238" xr:uid="{EE5E2E35-4806-4F6F-9810-F5879536177C}"/>
    <cellStyle name="Input 16 13" xfId="1205" xr:uid="{23789717-4936-42DF-BC0C-8AF8CD2BAF45}"/>
    <cellStyle name="Input 16 14" xfId="1220" xr:uid="{6C28C1BC-CC0F-40B3-972B-81E5F5DA8721}"/>
    <cellStyle name="Input 16 15" xfId="2011" xr:uid="{81A74BE2-2E5C-45B0-BEE5-BFE4E9B67C48}"/>
    <cellStyle name="Input 16 2" xfId="784" xr:uid="{65D3242F-2F24-4C39-8B49-E5C9816EEA8C}"/>
    <cellStyle name="Input 16 2 2" xfId="1407" xr:uid="{F8C4379A-C98A-48FC-B06C-39E5B96DC729}"/>
    <cellStyle name="Input 16 2 3" xfId="1797" xr:uid="{66489368-7617-495E-BABF-588A197A176F}"/>
    <cellStyle name="Input 16 2 4" xfId="2184" xr:uid="{7FC248B3-EB0D-47FF-8F75-F16FFB087D57}"/>
    <cellStyle name="Input 16 2 5" xfId="2569" xr:uid="{4C80661A-D0EA-44A4-BA90-A321A9ECC9F0}"/>
    <cellStyle name="Input 16 2 6" xfId="2945" xr:uid="{0C511510-718D-4FEB-9847-E1D4E7B169AE}"/>
    <cellStyle name="Input 16 2 7" xfId="3312" xr:uid="{7D967FEE-1D44-4EED-BA78-8D6CEC51BD55}"/>
    <cellStyle name="Input 16 2 8" xfId="3668" xr:uid="{1CB1D4DE-A753-4474-B359-1CE462284EFE}"/>
    <cellStyle name="Input 16 3" xfId="738" xr:uid="{F51E3168-D7FE-4375-852A-CA1C1F8C3ECB}"/>
    <cellStyle name="Input 16 3 2" xfId="1361" xr:uid="{F5CF7A4A-1F9D-4351-9D7D-922395A3AEDE}"/>
    <cellStyle name="Input 16 3 3" xfId="1751" xr:uid="{9D1B1489-08CC-4BCA-8D7F-1C3E717BF903}"/>
    <cellStyle name="Input 16 3 4" xfId="2138" xr:uid="{59468A81-CF49-4689-A14D-26C4562FB525}"/>
    <cellStyle name="Input 16 3 5" xfId="2523" xr:uid="{4A0B4284-711B-47C4-8D5F-2BE6DE7926B5}"/>
    <cellStyle name="Input 16 3 6" xfId="2899" xr:uid="{C99B97D0-F1BE-4405-969A-4A976527DA9A}"/>
    <cellStyle name="Input 16 3 7" xfId="3266" xr:uid="{6DDD9D3F-106B-4701-A4AF-D1A45012FA0D}"/>
    <cellStyle name="Input 16 3 8" xfId="3622" xr:uid="{7064EB97-8F97-45E3-ADCA-9C947CFFBCE0}"/>
    <cellStyle name="Input 16 4" xfId="778" xr:uid="{537C9341-74CE-4F4B-8AA7-E78DBE5FB59F}"/>
    <cellStyle name="Input 16 4 2" xfId="1401" xr:uid="{F1C21DC7-262F-4328-9DD2-C62D528DA11F}"/>
    <cellStyle name="Input 16 4 3" xfId="1791" xr:uid="{0B18DD41-7BDF-4459-A476-860825F522B3}"/>
    <cellStyle name="Input 16 4 4" xfId="2178" xr:uid="{747F0F2F-5B71-45DE-A98F-AF6A5B976E62}"/>
    <cellStyle name="Input 16 4 5" xfId="2563" xr:uid="{06B48E21-A15F-4F77-84DB-95FAC26A15AE}"/>
    <cellStyle name="Input 16 4 6" xfId="2939" xr:uid="{9F04DD48-9431-4E84-907F-86C4A42FF8DB}"/>
    <cellStyle name="Input 16 4 7" xfId="3306" xr:uid="{75D9E0C8-78A0-424B-BE5E-E74E69CF0DE4}"/>
    <cellStyle name="Input 16 4 8" xfId="3662" xr:uid="{024A8097-C501-4DDF-84B7-70E3FD4FB150}"/>
    <cellStyle name="Input 16 5" xfId="898" xr:uid="{700620D6-8863-4611-BC3E-4DE279F4DC08}"/>
    <cellStyle name="Input 16 5 2" xfId="1519" xr:uid="{38D4046E-0964-444E-B53C-8EFECAA3F515}"/>
    <cellStyle name="Input 16 5 3" xfId="1910" xr:uid="{FF3DC7F3-BD9F-4D8E-882E-E4D351BA0618}"/>
    <cellStyle name="Input 16 5 4" xfId="2296" xr:uid="{BF356BF8-F32D-4C7A-82F7-88EF6C45F602}"/>
    <cellStyle name="Input 16 5 5" xfId="2682" xr:uid="{0C5C1DA1-ECE6-46ED-8697-3B48C1CDA62C}"/>
    <cellStyle name="Input 16 5 6" xfId="3057" xr:uid="{B0E5290E-DBD6-4428-BEA4-A36571BDB75D}"/>
    <cellStyle name="Input 16 5 7" xfId="3424" xr:uid="{4790226C-2C97-45DA-8E11-AFF2B3B57C89}"/>
    <cellStyle name="Input 16 5 8" xfId="3780" xr:uid="{5AFDA031-F140-4BE4-9048-60F087E08074}"/>
    <cellStyle name="Input 16 6" xfId="860" xr:uid="{454D68ED-29CA-4EEC-9F03-4BC5C2BDA8B1}"/>
    <cellStyle name="Input 16 6 2" xfId="1482" xr:uid="{951778D1-4202-4B46-93DC-B12286F4E86B}"/>
    <cellStyle name="Input 16 6 3" xfId="1872" xr:uid="{A14C5186-47F8-4A70-B12A-A1B1B72DCB8E}"/>
    <cellStyle name="Input 16 6 4" xfId="2259" xr:uid="{3217A353-5404-4C0E-8ACD-12D5F47E6DA7}"/>
    <cellStyle name="Input 16 6 5" xfId="2644" xr:uid="{ACBAE08D-1622-478C-81ED-0CA7AE109DA2}"/>
    <cellStyle name="Input 16 6 6" xfId="3020" xr:uid="{B692F678-B562-4EA0-BD6B-AD2BAB40785E}"/>
    <cellStyle name="Input 16 6 7" xfId="3387" xr:uid="{C22E9023-342A-452B-B0BC-EFE47C511A80}"/>
    <cellStyle name="Input 16 6 8" xfId="3743" xr:uid="{19E0626F-9F30-43D7-BFE0-854EBFACFD2B}"/>
    <cellStyle name="Input 16 7" xfId="674" xr:uid="{B605E5DD-A05E-43A7-8FAA-137B634111B6}"/>
    <cellStyle name="Input 16 7 2" xfId="1298" xr:uid="{B61F430D-0502-4E64-84CA-5E8C1720FA50}"/>
    <cellStyle name="Input 16 7 3" xfId="1689" xr:uid="{FBD2F70A-59E7-43A9-8282-BC4424D97753}"/>
    <cellStyle name="Input 16 7 4" xfId="2075" xr:uid="{7E31184C-9DAC-459E-995C-CCFAA252669B}"/>
    <cellStyle name="Input 16 7 5" xfId="2461" xr:uid="{A485166A-8A37-4CF7-9F7E-A2A84BD277D7}"/>
    <cellStyle name="Input 16 7 6" xfId="2837" xr:uid="{DA570790-709F-4866-B4C2-8FBAC44A3001}"/>
    <cellStyle name="Input 16 7 7" xfId="3204" xr:uid="{E445248D-AF8B-457F-B8FE-8AD5B7426AA9}"/>
    <cellStyle name="Input 16 7 8" xfId="3560" xr:uid="{F40EE0D4-F821-4CDC-A572-16714EC96AAE}"/>
    <cellStyle name="Input 16 8" xfId="895" xr:uid="{F706F3DD-B4F4-41AC-9DAA-51B2CF1D32DF}"/>
    <cellStyle name="Input 16 8 2" xfId="1516" xr:uid="{06F0208E-FE48-478E-8F49-D11BC5D843AE}"/>
    <cellStyle name="Input 16 8 3" xfId="1907" xr:uid="{82D3832A-118C-4723-A8DB-E53C562E4A83}"/>
    <cellStyle name="Input 16 8 4" xfId="2293" xr:uid="{F48D0201-9667-4CAC-AA96-D32D3C90F13B}"/>
    <cellStyle name="Input 16 8 5" xfId="2679" xr:uid="{3461655D-37F8-4C00-92B7-97E29357E7D6}"/>
    <cellStyle name="Input 16 8 6" xfId="3054" xr:uid="{5393AA55-C35C-4BEB-A6B6-B343712754BD}"/>
    <cellStyle name="Input 16 8 7" xfId="3421" xr:uid="{9B689697-A5D7-45F0-BC2E-57DB081F5F9E}"/>
    <cellStyle name="Input 16 8 8" xfId="3777" xr:uid="{49DC9D54-09BF-4691-B055-19EC8EB40B32}"/>
    <cellStyle name="Input 16 9" xfId="1154" xr:uid="{152029B0-DE22-4D82-BCFA-BBCD23F1A814}"/>
    <cellStyle name="Input 17" xfId="461" xr:uid="{66B9EA0C-5291-4FFC-99FD-0E26673C97BE}"/>
    <cellStyle name="Input 17 10" xfId="157" xr:uid="{4578DA90-53AB-468A-9147-6BE35E603AD6}"/>
    <cellStyle name="Input 17 11" xfId="1185" xr:uid="{FDA8E6B7-DC13-4833-9CAA-909B76033F04}"/>
    <cellStyle name="Input 17 12" xfId="1600" xr:uid="{87C0B27B-EBB5-49E8-A544-0676CA188293}"/>
    <cellStyle name="Input 17 13" xfId="145" xr:uid="{C2FB7458-252E-41EA-9D47-55F90D71873E}"/>
    <cellStyle name="Input 17 14" xfId="2374" xr:uid="{9EAA4F02-97C9-40DC-A0EF-0E50E9A60145}"/>
    <cellStyle name="Input 17 15" xfId="2382" xr:uid="{20C7CC09-D588-4904-A2E1-03CD36B4C622}"/>
    <cellStyle name="Input 17 2" xfId="776" xr:uid="{012CA2F3-5242-4AA8-96A1-FC7A015C1644}"/>
    <cellStyle name="Input 17 2 2" xfId="1399" xr:uid="{FA97BED6-DEB4-427A-802E-21079506C20D}"/>
    <cellStyle name="Input 17 2 3" xfId="1789" xr:uid="{CDA9629C-157B-4D67-B395-409D4C887B51}"/>
    <cellStyle name="Input 17 2 4" xfId="2176" xr:uid="{4F62B5E8-C16A-42F3-AA54-AE697C5D8E68}"/>
    <cellStyle name="Input 17 2 5" xfId="2561" xr:uid="{E161E098-0912-4268-8C05-A61DFE77E07F}"/>
    <cellStyle name="Input 17 2 6" xfId="2937" xr:uid="{E123E772-C4C1-435E-8AB4-29A7D604F81F}"/>
    <cellStyle name="Input 17 2 7" xfId="3304" xr:uid="{18F35B6F-EDFD-4007-9515-CC73A0D6FC9D}"/>
    <cellStyle name="Input 17 2 8" xfId="3660" xr:uid="{A6FB5471-C69E-47C4-92A0-B8979F8DEF20}"/>
    <cellStyle name="Input 17 3" xfId="709" xr:uid="{7BB57AAC-E910-451F-87BD-D044BD037CD0}"/>
    <cellStyle name="Input 17 3 2" xfId="1332" xr:uid="{BA9CB8CD-C54A-4C8C-9089-062465CE3042}"/>
    <cellStyle name="Input 17 3 3" xfId="1723" xr:uid="{6233DAF9-2EC0-48DA-AFEF-CC61E8B1635E}"/>
    <cellStyle name="Input 17 3 4" xfId="2109" xr:uid="{019134F3-5437-4C64-81FD-3FC91FB7950D}"/>
    <cellStyle name="Input 17 3 5" xfId="2495" xr:uid="{74DCF8ED-9D92-46CF-8D68-D9E41804E17D}"/>
    <cellStyle name="Input 17 3 6" xfId="2871" xr:uid="{CFAFBA85-558F-44DB-98BA-29E27C122D52}"/>
    <cellStyle name="Input 17 3 7" xfId="3238" xr:uid="{1B07A735-0406-458F-AB90-AADD543C34E7}"/>
    <cellStyle name="Input 17 3 8" xfId="3594" xr:uid="{6211B607-9691-4B19-89CC-B64408A56CD0}"/>
    <cellStyle name="Input 17 4" xfId="890" xr:uid="{0881C444-7A9D-4399-B0A4-8606F9A1F5E5}"/>
    <cellStyle name="Input 17 4 2" xfId="1511" xr:uid="{FF5AF3B8-9486-4F66-A94D-827501C75880}"/>
    <cellStyle name="Input 17 4 3" xfId="1902" xr:uid="{ADD9212D-FCAB-466A-ACDD-399A99A51DE9}"/>
    <cellStyle name="Input 17 4 4" xfId="2288" xr:uid="{1325FC94-F6C6-439F-A7BA-FADF781F7FF7}"/>
    <cellStyle name="Input 17 4 5" xfId="2674" xr:uid="{C373F11E-07DB-4059-B960-51C330017208}"/>
    <cellStyle name="Input 17 4 6" xfId="3049" xr:uid="{1963CEBB-1DCA-42ED-9AC3-E1A805C5D771}"/>
    <cellStyle name="Input 17 4 7" xfId="3416" xr:uid="{6F4A550D-F5C1-4FF6-8E26-EA5E9C2C4747}"/>
    <cellStyle name="Input 17 4 8" xfId="3772" xr:uid="{07A00C72-94E5-43CB-9454-C9C37A723121}"/>
    <cellStyle name="Input 17 5" xfId="805" xr:uid="{09DDB6E7-3A4F-4313-8362-9D26BBE3040E}"/>
    <cellStyle name="Input 17 5 2" xfId="1428" xr:uid="{95B384B8-3020-4E75-B497-475D7D1F245B}"/>
    <cellStyle name="Input 17 5 3" xfId="1818" xr:uid="{56D99295-4D05-43B7-B198-6DBA7E51851E}"/>
    <cellStyle name="Input 17 5 4" xfId="2205" xr:uid="{6E606C2D-A6FD-41FC-BA26-33E3C59A587B}"/>
    <cellStyle name="Input 17 5 5" xfId="2590" xr:uid="{B9DA98B9-4083-44A4-9EB3-A9B2B50C9424}"/>
    <cellStyle name="Input 17 5 6" xfId="2966" xr:uid="{C55096C5-7E5B-4DC4-A1D7-D57F115CBD29}"/>
    <cellStyle name="Input 17 5 7" xfId="3333" xr:uid="{413E1B03-F02E-4A4C-937E-214D4421937B}"/>
    <cellStyle name="Input 17 5 8" xfId="3689" xr:uid="{4C380F94-6B32-419C-8A9A-37DA6C5D0C81}"/>
    <cellStyle name="Input 17 6" xfId="925" xr:uid="{FE5D15B9-A3C0-467D-A68E-397DD0B52126}"/>
    <cellStyle name="Input 17 6 2" xfId="1546" xr:uid="{10CE1AB6-FC19-44B6-8B7B-4BA8E87FA7FF}"/>
    <cellStyle name="Input 17 6 3" xfId="1937" xr:uid="{013C50A2-616C-4176-87A0-AF3DFEED9280}"/>
    <cellStyle name="Input 17 6 4" xfId="2323" xr:uid="{9F1AD340-E8EE-48FF-A5F6-06E323506167}"/>
    <cellStyle name="Input 17 6 5" xfId="2709" xr:uid="{2C39833F-215A-46DB-BACC-9C658FCB0FF8}"/>
    <cellStyle name="Input 17 6 6" xfId="3084" xr:uid="{B60AC46B-4089-40AF-B02E-AA5802FC4446}"/>
    <cellStyle name="Input 17 6 7" xfId="3451" xr:uid="{C6F78B1F-78EC-45C8-A13D-7AE744A08BB9}"/>
    <cellStyle name="Input 17 6 8" xfId="3806" xr:uid="{68AD8910-76D4-4A05-A937-F1EB6157D4D9}"/>
    <cellStyle name="Input 17 7" xfId="681" xr:uid="{1B484695-5C51-4647-B974-F8FD19C3651A}"/>
    <cellStyle name="Input 17 7 2" xfId="1305" xr:uid="{729111FB-359F-4DF0-86EA-0CAAD5E41FCE}"/>
    <cellStyle name="Input 17 7 3" xfId="1696" xr:uid="{7AF00DB4-2C16-46CD-B26B-EEB793885DAE}"/>
    <cellStyle name="Input 17 7 4" xfId="2082" xr:uid="{6F7AAA06-7230-4D70-A46F-8B230143C66C}"/>
    <cellStyle name="Input 17 7 5" xfId="2468" xr:uid="{0B71DD20-3979-41AD-A52C-9B02DE19E1A1}"/>
    <cellStyle name="Input 17 7 6" xfId="2844" xr:uid="{FE6B705A-37CE-4BBE-A597-1DB88AC1CB5D}"/>
    <cellStyle name="Input 17 7 7" xfId="3211" xr:uid="{B661F14D-90E9-4F7B-A3F2-33782E24D580}"/>
    <cellStyle name="Input 17 7 8" xfId="3567" xr:uid="{9975E906-5323-4134-8154-9971F14AFB0D}"/>
    <cellStyle name="Input 17 8" xfId="967" xr:uid="{6D02ED41-1683-452A-8945-597D51E6B2C3}"/>
    <cellStyle name="Input 17 8 2" xfId="1588" xr:uid="{49824B03-8AE9-463B-8F4A-A312EE8359D6}"/>
    <cellStyle name="Input 17 8 3" xfId="1979" xr:uid="{C51E8A95-6ADF-4334-BD23-011C53AE1461}"/>
    <cellStyle name="Input 17 8 4" xfId="2365" xr:uid="{834A361E-AA00-46E4-91B7-A3ADEA1E55C9}"/>
    <cellStyle name="Input 17 8 5" xfId="2751" xr:uid="{E42DAF53-CE83-4B06-8B4E-9C9255F79947}"/>
    <cellStyle name="Input 17 8 6" xfId="3126" xr:uid="{24268E93-7074-44FE-8DEB-2958C5FE337C}"/>
    <cellStyle name="Input 17 8 7" xfId="3493" xr:uid="{98B3B387-A788-4945-9D2E-C7317FF4E921}"/>
    <cellStyle name="Input 17 8 8" xfId="3848" xr:uid="{DD8BF9B0-E771-4811-80BF-C92C311801B7}"/>
    <cellStyle name="Input 17 9" xfId="1147" xr:uid="{D2162726-1450-491A-905E-3779FC6FD3D4}"/>
    <cellStyle name="Input 18" xfId="462" xr:uid="{999C7709-D8FD-4E0F-A7EA-005F0DF6C8F4}"/>
    <cellStyle name="Input 18 10" xfId="999" xr:uid="{05813205-DEFF-45F5-B0F3-8F691BAAE595}"/>
    <cellStyle name="Input 18 11" xfId="1211" xr:uid="{0A96BBA4-E501-4974-A6BB-0A70F054E349}"/>
    <cellStyle name="Input 18 12" xfId="1604" xr:uid="{3D35340D-85ED-4023-9B53-E1FF38255CCF}"/>
    <cellStyle name="Input 18 13" xfId="1079" xr:uid="{DAF644F0-BEEA-4151-B36A-16597F1BA811}"/>
    <cellStyle name="Input 18 14" xfId="2375" xr:uid="{84703D6B-580D-420A-B2C0-5FE796B2C32E}"/>
    <cellStyle name="Input 18 15" xfId="2383" xr:uid="{049F9FB7-84C8-4477-A873-BF1AFBED5622}"/>
    <cellStyle name="Input 18 2" xfId="777" xr:uid="{E036C57A-EC39-4D39-9612-6432EB3DD86F}"/>
    <cellStyle name="Input 18 2 2" xfId="1400" xr:uid="{94EC4115-83F4-452E-9646-EAD71B37EF01}"/>
    <cellStyle name="Input 18 2 3" xfId="1790" xr:uid="{E0976BCD-5917-4021-B91A-66436283DDF8}"/>
    <cellStyle name="Input 18 2 4" xfId="2177" xr:uid="{99B8C7FC-770C-4165-BB4C-552558F2C629}"/>
    <cellStyle name="Input 18 2 5" xfId="2562" xr:uid="{8F537CEE-8BD8-4099-9629-14D44FED9647}"/>
    <cellStyle name="Input 18 2 6" xfId="2938" xr:uid="{211FF05A-E1B2-472A-BD38-CF861A857DC0}"/>
    <cellStyle name="Input 18 2 7" xfId="3305" xr:uid="{17676978-0883-4B12-96D7-64D6EFD5ADC3}"/>
    <cellStyle name="Input 18 2 8" xfId="3661" xr:uid="{D3E7D767-7AEE-4CB1-90AF-8A048D00AE3D}"/>
    <cellStyle name="Input 18 3" xfId="861" xr:uid="{99F8E1CB-5EEE-495C-9DD2-879937696479}"/>
    <cellStyle name="Input 18 3 2" xfId="1483" xr:uid="{734620D5-F782-4FFE-8455-24DB3119C957}"/>
    <cellStyle name="Input 18 3 3" xfId="1873" xr:uid="{EE4EE0A7-1E5E-4BDC-9852-614D4DFFAA32}"/>
    <cellStyle name="Input 18 3 4" xfId="2260" xr:uid="{1811E283-2865-45EC-9570-14804EB01389}"/>
    <cellStyle name="Input 18 3 5" xfId="2645" xr:uid="{F0D4C4C7-4E18-4260-AC50-8D20FC72768F}"/>
    <cellStyle name="Input 18 3 6" xfId="3021" xr:uid="{B8C4AD65-C3C7-418A-A18C-CB12379FF98F}"/>
    <cellStyle name="Input 18 3 7" xfId="3388" xr:uid="{53B8F204-B575-42C3-A978-D96245569AD1}"/>
    <cellStyle name="Input 18 3 8" xfId="3744" xr:uid="{BF050A53-CB35-44D2-A530-EEECD7D30792}"/>
    <cellStyle name="Input 18 4" xfId="344" xr:uid="{9F542FC0-65FE-496E-874E-8358E6158CA6}"/>
    <cellStyle name="Input 18 4 2" xfId="1063" xr:uid="{7DC1E799-C731-4C13-9D2F-E53300548409}"/>
    <cellStyle name="Input 18 4 3" xfId="165" xr:uid="{C3B93E87-A656-4547-BD48-63AD07B36402}"/>
    <cellStyle name="Input 18 4 4" xfId="1199" xr:uid="{E9C32FCD-042F-4925-AD5F-651085F5497C}"/>
    <cellStyle name="Input 18 4 5" xfId="1114" xr:uid="{E217A152-7245-4A8A-99DE-0E5E144FF25F}"/>
    <cellStyle name="Input 18 4 6" xfId="2397" xr:uid="{C51A432D-CE45-418C-B6BA-2D3A3AC7541A}"/>
    <cellStyle name="Input 18 4 7" xfId="1624" xr:uid="{1CCE1EC5-904A-4FB5-A718-F3DDD020F0D7}"/>
    <cellStyle name="Input 18 4 8" xfId="3143" xr:uid="{CB3FDB76-CAD5-4D15-87A6-D1FE83123318}"/>
    <cellStyle name="Input 18 5" xfId="914" xr:uid="{5348F639-B0D2-4D48-96BD-A5F96CDE68EE}"/>
    <cellStyle name="Input 18 5 2" xfId="1535" xr:uid="{8F53BFFE-986B-4558-8A82-4D4FA811AC8D}"/>
    <cellStyle name="Input 18 5 3" xfId="1926" xr:uid="{22085325-F50F-4A3D-BA13-ED39204674F1}"/>
    <cellStyle name="Input 18 5 4" xfId="2312" xr:uid="{CBC3EA6B-5EF8-4434-B502-6DDA2A90D666}"/>
    <cellStyle name="Input 18 5 5" xfId="2698" xr:uid="{B7538D9B-F127-4491-978C-F31DA3A06194}"/>
    <cellStyle name="Input 18 5 6" xfId="3073" xr:uid="{C55BBC8C-1043-4106-8AB5-4BAC9F353CEA}"/>
    <cellStyle name="Input 18 5 7" xfId="3440" xr:uid="{F473A5D7-0870-49E4-B303-68D16E20FC8E}"/>
    <cellStyle name="Input 18 5 8" xfId="3796" xr:uid="{BB2BFED4-1607-494F-91A0-BEAA989F3C38}"/>
    <cellStyle name="Input 18 6" xfId="938" xr:uid="{221D924C-210E-43A6-8CAE-60B9680B3B2E}"/>
    <cellStyle name="Input 18 6 2" xfId="1559" xr:uid="{C497F122-8AD6-45F0-9E52-D5488193E0C2}"/>
    <cellStyle name="Input 18 6 3" xfId="1950" xr:uid="{64C13508-53BC-4BCF-BFBC-461B798222FC}"/>
    <cellStyle name="Input 18 6 4" xfId="2336" xr:uid="{A89C88AD-068D-4142-AF2D-899D9B691060}"/>
    <cellStyle name="Input 18 6 5" xfId="2722" xr:uid="{37FF49D9-8D3B-4DD2-9FE4-910CF3B08A0E}"/>
    <cellStyle name="Input 18 6 6" xfId="3097" xr:uid="{02B209A6-1242-4494-B042-BDF98E99C301}"/>
    <cellStyle name="Input 18 6 7" xfId="3464" xr:uid="{057607B0-98DA-4FFB-BAF1-0DF93F1DE7E7}"/>
    <cellStyle name="Input 18 6 8" xfId="3819" xr:uid="{35B2032D-C4AB-4B73-B73D-66B64B386883}"/>
    <cellStyle name="Input 18 7" xfId="915" xr:uid="{2549F95E-B4AE-483B-A1E2-AC3A5B6EFCA1}"/>
    <cellStyle name="Input 18 7 2" xfId="1536" xr:uid="{9EA39960-2350-4563-AC9B-A452B18A2696}"/>
    <cellStyle name="Input 18 7 3" xfId="1927" xr:uid="{7FB1423E-21BA-45AA-823E-0FFF48F1E6B0}"/>
    <cellStyle name="Input 18 7 4" xfId="2313" xr:uid="{EBE938F6-D4EA-4C8A-816A-28117A67F2C1}"/>
    <cellStyle name="Input 18 7 5" xfId="2699" xr:uid="{4B14A214-C796-4F75-B8E2-BC6AC8E00AB3}"/>
    <cellStyle name="Input 18 7 6" xfId="3074" xr:uid="{07A4E8AF-678E-484E-93E9-983DAA55694D}"/>
    <cellStyle name="Input 18 7 7" xfId="3441" xr:uid="{30F45013-81CD-48B9-8D69-D5FCD5E88F4B}"/>
    <cellStyle name="Input 18 7 8" xfId="3797" xr:uid="{ECE54B33-9295-46D6-AC70-0DB3EF98B8DE}"/>
    <cellStyle name="Input 18 8" xfId="837" xr:uid="{7936A0E6-A677-40D5-8466-1088F829500D}"/>
    <cellStyle name="Input 18 8 2" xfId="1459" xr:uid="{54EA034F-1161-443F-882B-0E8E4C123A6C}"/>
    <cellStyle name="Input 18 8 3" xfId="1849" xr:uid="{FD539735-5DF2-4C39-A5A3-1FF5A9EA42AF}"/>
    <cellStyle name="Input 18 8 4" xfId="2236" xr:uid="{DD9C67E6-F875-497E-8BD2-939878F95D68}"/>
    <cellStyle name="Input 18 8 5" xfId="2621" xr:uid="{0FB79C34-EB75-4D0D-96FC-DB89AD5D9DD7}"/>
    <cellStyle name="Input 18 8 6" xfId="2997" xr:uid="{14071B2F-1418-499A-9E3E-3F2EFE9ABBBF}"/>
    <cellStyle name="Input 18 8 7" xfId="3364" xr:uid="{B6F19195-8870-412A-AEC7-615E43DE36F4}"/>
    <cellStyle name="Input 18 8 8" xfId="3720" xr:uid="{52908776-0B14-4239-B934-5338DFE1DAA4}"/>
    <cellStyle name="Input 18 9" xfId="1148" xr:uid="{F1CBA0C3-114F-4D09-B3DA-D946931BDA07}"/>
    <cellStyle name="Input 19" xfId="468" xr:uid="{B2458721-0755-404D-BDAF-48F762704434}"/>
    <cellStyle name="Input 19 10" xfId="989" xr:uid="{FD8BDCDC-DD31-4DE0-81D7-DAF439DC8D24}"/>
    <cellStyle name="Input 19 11" xfId="1010" xr:uid="{D63AAF25-586C-41A2-88F7-6FE85576B12F}"/>
    <cellStyle name="Input 19 12" xfId="1141" xr:uid="{A788971C-0357-4876-9C4B-5B9D933B9C14}"/>
    <cellStyle name="Input 19 13" xfId="1186" xr:uid="{1A63A60F-24AC-408A-916B-731AC75E501D}"/>
    <cellStyle name="Input 19 14" xfId="1082" xr:uid="{93BC394A-C004-4A83-B5F1-9EB7F615C274}"/>
    <cellStyle name="Input 19 15" xfId="1213" xr:uid="{4E0F64C1-FC7B-4DE9-B40C-EF641D866D53}"/>
    <cellStyle name="Input 19 2" xfId="781" xr:uid="{50993655-1363-41FF-A4A5-4A6E4D4C9432}"/>
    <cellStyle name="Input 19 2 2" xfId="1404" xr:uid="{8086079A-0A57-4601-B7C9-761D20B5CEE3}"/>
    <cellStyle name="Input 19 2 3" xfId="1794" xr:uid="{05546F8E-C023-43E5-B5D6-EA68994CD95D}"/>
    <cellStyle name="Input 19 2 4" xfId="2181" xr:uid="{4715B46E-CEFD-42F7-B880-F336E52821D1}"/>
    <cellStyle name="Input 19 2 5" xfId="2566" xr:uid="{D3F3E514-FD6F-4C33-AAA4-FF78DC657D57}"/>
    <cellStyle name="Input 19 2 6" xfId="2942" xr:uid="{DDCB73AD-1303-4219-99C4-999B820BFC55}"/>
    <cellStyle name="Input 19 2 7" xfId="3309" xr:uid="{0CC9F68F-EB7C-4BBC-B339-3D52187053C2}"/>
    <cellStyle name="Input 19 2 8" xfId="3665" xr:uid="{4691DC31-9233-410C-8FD4-B9FA70C0AD35}"/>
    <cellStyle name="Input 19 3" xfId="731" xr:uid="{ECE9F142-81D0-4B7B-8D14-664FB060716F}"/>
    <cellStyle name="Input 19 3 2" xfId="1354" xr:uid="{20638A4C-3B8C-4616-94E2-4FF24399FEDD}"/>
    <cellStyle name="Input 19 3 3" xfId="1744" xr:uid="{9FFDECB9-16B3-426B-862B-3E7876ACF291}"/>
    <cellStyle name="Input 19 3 4" xfId="2131" xr:uid="{F7FB9ABD-AB5D-4BE0-BC2A-66194DDA01E9}"/>
    <cellStyle name="Input 19 3 5" xfId="2516" xr:uid="{76DA7451-C75C-4A44-8A8E-157D89932464}"/>
    <cellStyle name="Input 19 3 6" xfId="2892" xr:uid="{F3D21BE5-1F59-4302-8FCE-1BECCD5148C8}"/>
    <cellStyle name="Input 19 3 7" xfId="3259" xr:uid="{A8551034-F00E-4853-A437-D0C83CCDFFBA}"/>
    <cellStyle name="Input 19 3 8" xfId="3615" xr:uid="{02F8BF73-F4E3-488D-968A-F07F2A33DE51}"/>
    <cellStyle name="Input 19 4" xfId="888" xr:uid="{61E36A41-E05F-42E7-BBB1-ED0ADE164CB4}"/>
    <cellStyle name="Input 19 4 2" xfId="1509" xr:uid="{21569BEA-8869-46CD-975E-7F7E9B28A47A}"/>
    <cellStyle name="Input 19 4 3" xfId="1900" xr:uid="{A5FC69D2-48BA-433B-9F8B-8D259CE53A35}"/>
    <cellStyle name="Input 19 4 4" xfId="2286" xr:uid="{9FFD6B6D-8DB3-4BAD-B6C3-941044C2E966}"/>
    <cellStyle name="Input 19 4 5" xfId="2672" xr:uid="{A62A9C6E-A6CE-4A33-9E6C-192560A18A3B}"/>
    <cellStyle name="Input 19 4 6" xfId="3047" xr:uid="{F734EBD4-BDCC-4E2F-9FB7-5800907AC7B0}"/>
    <cellStyle name="Input 19 4 7" xfId="3414" xr:uid="{5C6E8F12-6965-49AB-B23F-A4553CE14451}"/>
    <cellStyle name="Input 19 4 8" xfId="3770" xr:uid="{37A0BEF9-BFDF-4FB2-82BC-20EE2DB8323D}"/>
    <cellStyle name="Input 19 5" xfId="334" xr:uid="{BFCF838E-14EB-4101-8ABA-228DD8B4C899}"/>
    <cellStyle name="Input 19 5 2" xfId="1054" xr:uid="{F743A1BA-5C1D-4BB8-9FA9-01C5A401282C}"/>
    <cellStyle name="Input 19 5 3" xfId="974" xr:uid="{B788D0E9-9784-40BF-B2AB-3A02F64D798D}"/>
    <cellStyle name="Input 19 5 4" xfId="1178" xr:uid="{1BD1C80B-E2E1-4C71-86D9-EB1C86F97916}"/>
    <cellStyle name="Input 19 5 5" xfId="1115" xr:uid="{461697C8-CCB3-4128-840D-2872400B75A8}"/>
    <cellStyle name="Input 19 5 6" xfId="1051" xr:uid="{A7606AAB-E63D-48C2-9B71-E2403F66EFE1}"/>
    <cellStyle name="Input 19 5 7" xfId="1111" xr:uid="{26B4C329-FF12-48E3-BE4E-3CDE518F7EB9}"/>
    <cellStyle name="Input 19 5 8" xfId="1127" xr:uid="{C5372077-AE83-4B12-AA4F-77E4DF9588E5}"/>
    <cellStyle name="Input 19 6" xfId="721" xr:uid="{8B311490-6F31-4A94-918A-CA033F9F1057}"/>
    <cellStyle name="Input 19 6 2" xfId="1344" xr:uid="{9157C058-30F0-4C56-AB0C-CA0D706D4303}"/>
    <cellStyle name="Input 19 6 3" xfId="1735" xr:uid="{94349824-90AD-4C10-B435-9F98690259A3}"/>
    <cellStyle name="Input 19 6 4" xfId="2121" xr:uid="{B1394389-5F9A-43CA-8A42-88D56C3E6D9E}"/>
    <cellStyle name="Input 19 6 5" xfId="2507" xr:uid="{4D0DFF74-A212-463F-84B8-155D9DD7D5C2}"/>
    <cellStyle name="Input 19 6 6" xfId="2883" xr:uid="{DC69CC54-E8C7-4987-A977-B073FFD07F67}"/>
    <cellStyle name="Input 19 6 7" xfId="3250" xr:uid="{A3C55A1B-01A5-46EA-9667-52C15F2F6F39}"/>
    <cellStyle name="Input 19 6 8" xfId="3606" xr:uid="{9DD2CCD4-0B4C-407D-A4DD-2356D9658B66}"/>
    <cellStyle name="Input 19 7" xfId="944" xr:uid="{A3308DDD-71EC-410C-835C-4EF2B3B0FBFC}"/>
    <cellStyle name="Input 19 7 2" xfId="1565" xr:uid="{898BE3FC-4373-4C28-9376-68A690F8D62E}"/>
    <cellStyle name="Input 19 7 3" xfId="1956" xr:uid="{1A01061A-9C18-41AC-A3DC-0C1DE40947FD}"/>
    <cellStyle name="Input 19 7 4" xfId="2342" xr:uid="{B750ABD2-FDB5-476B-B227-E5B4B8C2359B}"/>
    <cellStyle name="Input 19 7 5" xfId="2728" xr:uid="{C7FF3951-33B7-4B2C-8B2A-7D53009171FB}"/>
    <cellStyle name="Input 19 7 6" xfId="3103" xr:uid="{51EC12A6-2E3E-4261-ACCC-1F8285BDF096}"/>
    <cellStyle name="Input 19 7 7" xfId="3470" xr:uid="{AD16C5D7-FC36-4B0E-8C7C-A0895A2F17B3}"/>
    <cellStyle name="Input 19 7 8" xfId="3825" xr:uid="{62B64678-4C3F-41E7-BFA9-B88C585CA0B7}"/>
    <cellStyle name="Input 19 8" xfId="966" xr:uid="{0614A732-1334-431B-BD55-ADDF77FE9CF0}"/>
    <cellStyle name="Input 19 8 2" xfId="1587" xr:uid="{4A202090-B2B4-4C50-A19E-A4E576FDD31B}"/>
    <cellStyle name="Input 19 8 3" xfId="1978" xr:uid="{2C8B4EEB-B70B-4F46-B76B-4E005AEAC059}"/>
    <cellStyle name="Input 19 8 4" xfId="2364" xr:uid="{0A372CB8-A041-405C-9C5B-A6A219617CBD}"/>
    <cellStyle name="Input 19 8 5" xfId="2750" xr:uid="{633B6ABC-270E-44AD-878A-CD6990AA36BA}"/>
    <cellStyle name="Input 19 8 6" xfId="3125" xr:uid="{930AC676-DDE6-4465-AFDC-1B9ED3912B4B}"/>
    <cellStyle name="Input 19 8 7" xfId="3492" xr:uid="{E801B436-696B-4044-8C3C-3A67ECA84EA6}"/>
    <cellStyle name="Input 19 8 8" xfId="3847" xr:uid="{0BCFA2A6-CE0D-42BB-95B3-A09BD6A102CB}"/>
    <cellStyle name="Input 19 9" xfId="1151" xr:uid="{087DE6E8-F396-4468-BBF0-F508C408FE16}"/>
    <cellStyle name="Input 2" xfId="74" xr:uid="{00000000-0005-0000-0000-00004B000000}"/>
    <cellStyle name="Input 2 2" xfId="699" xr:uid="{C0AF7674-C6D3-44E8-BA84-87BB76D03E7C}"/>
    <cellStyle name="Input 2 2 2" xfId="1322" xr:uid="{2302979F-35A4-4441-9F95-F429D4E95B14}"/>
    <cellStyle name="Input 2 2 3" xfId="1713" xr:uid="{86B17DF0-0092-4719-84CA-C7B3953D2B46}"/>
    <cellStyle name="Input 2 2 4" xfId="2099" xr:uid="{356C8D74-D19D-48D3-AD6F-87D2429ECDF0}"/>
    <cellStyle name="Input 2 2 5" xfId="2485" xr:uid="{7796631F-4F69-4018-86CE-17B4E371E123}"/>
    <cellStyle name="Input 2 2 6" xfId="2861" xr:uid="{60ECB7CC-93AE-4CAF-B9EE-03E8BD8FB8DF}"/>
    <cellStyle name="Input 2 2 7" xfId="3228" xr:uid="{892D16E8-2DF3-4DC7-8AAB-C3A37AD2954B}"/>
    <cellStyle name="Input 2 2 8" xfId="3584" xr:uid="{F7039BD6-277F-4F22-9C97-CDBFC1533032}"/>
    <cellStyle name="Input 2 3" xfId="866" xr:uid="{525713C7-D7B6-4373-9091-1E95E760C3A7}"/>
    <cellStyle name="Input 2 3 2" xfId="1488" xr:uid="{50400871-E2E6-48DC-A45B-D234BCA3BFF1}"/>
    <cellStyle name="Input 2 3 3" xfId="1878" xr:uid="{3EE7BE90-B822-4933-9033-D0EF4F98497B}"/>
    <cellStyle name="Input 2 3 4" xfId="2265" xr:uid="{CFF41148-F062-4D65-820F-C641842B81C2}"/>
    <cellStyle name="Input 2 3 5" xfId="2650" xr:uid="{569217BC-9BC2-46EF-8308-C1A11D2C8F11}"/>
    <cellStyle name="Input 2 3 6" xfId="3026" xr:uid="{CADF03B4-3C17-4266-AB6C-C085A7F18020}"/>
    <cellStyle name="Input 2 3 7" xfId="3393" xr:uid="{AF3FCDC9-2F4B-4648-94B2-AB8334DAC548}"/>
    <cellStyle name="Input 2 3 8" xfId="3749" xr:uid="{1B403392-02E8-4CE6-A542-CA3A2CCECD9D}"/>
    <cellStyle name="Input 2 4" xfId="686" xr:uid="{A8F5C87E-D16A-43C7-9033-4C190B325747}"/>
    <cellStyle name="Input 2 4 2" xfId="1309" xr:uid="{7FCD367C-200D-458E-9A5B-617A7FB2867C}"/>
    <cellStyle name="Input 2 4 3" xfId="1700" xr:uid="{3471CFD8-AD1B-455E-BD79-85A241048FAB}"/>
    <cellStyle name="Input 2 4 4" xfId="2086" xr:uid="{D2CC19F0-75B3-48E9-8585-262D86F12EC8}"/>
    <cellStyle name="Input 2 4 5" xfId="2472" xr:uid="{3EC7DD2E-23E5-421B-9DFF-0B8B358B50B5}"/>
    <cellStyle name="Input 2 4 6" xfId="2848" xr:uid="{B9183031-D20C-4149-84BC-E9ABA00FEF09}"/>
    <cellStyle name="Input 2 4 7" xfId="3215" xr:uid="{D63C7D5E-12D1-44C0-835E-830CAE95487D}"/>
    <cellStyle name="Input 2 4 8" xfId="3571" xr:uid="{69D591FA-94E1-4DAA-9B05-AA990544DB5D}"/>
    <cellStyle name="Input 2 5" xfId="340" xr:uid="{6F099B43-0D53-460A-AFB9-1AAE68C27D02}"/>
    <cellStyle name="Input 2 5 2" xfId="1060" xr:uid="{6B886A5C-8145-4F8C-8CC0-6509D5DB562C}"/>
    <cellStyle name="Input 2 5 3" xfId="132" xr:uid="{7FCD8545-198F-47A0-B7CC-C34DD496EED7}"/>
    <cellStyle name="Input 2 5 4" xfId="1198" xr:uid="{561620DB-B479-45D7-ACBB-32D2A2982C5F}"/>
    <cellStyle name="Input 2 5 5" xfId="148" xr:uid="{C12EE349-0937-42E1-8BDF-7E011EEC102B}"/>
    <cellStyle name="Input 2 5 6" xfId="2398" xr:uid="{742A220F-C4AF-4803-81AE-026173489E3C}"/>
    <cellStyle name="Input 2 5 7" xfId="1123" xr:uid="{45940ACF-D6C3-4780-9345-86F83C48AC11}"/>
    <cellStyle name="Input 2 5 8" xfId="3144" xr:uid="{44C3E42B-A41E-4667-8587-95FB334B52C8}"/>
    <cellStyle name="Input 2 6" xfId="867" xr:uid="{27CC11B8-7F6F-4629-B50B-C457C56C31A2}"/>
    <cellStyle name="Input 2 6 2" xfId="1489" xr:uid="{11BA0C64-3C7A-4A20-9BAB-484D70A13B38}"/>
    <cellStyle name="Input 2 6 3" xfId="1879" xr:uid="{32AA999B-39A5-45A7-AD8C-BAD53ABA9DDC}"/>
    <cellStyle name="Input 2 6 4" xfId="2266" xr:uid="{3256EB97-C72C-4FED-B1D0-299E52104A6A}"/>
    <cellStyle name="Input 2 6 5" xfId="2651" xr:uid="{A0332368-688C-49C5-9417-A5974B276BDD}"/>
    <cellStyle name="Input 2 6 6" xfId="3027" xr:uid="{94B8C755-526E-4952-9947-0C021CC69C86}"/>
    <cellStyle name="Input 2 6 7" xfId="3394" xr:uid="{090EF8B3-6A06-461D-8282-FD01B98D28D0}"/>
    <cellStyle name="Input 2 6 8" xfId="3750" xr:uid="{496C144C-0EA1-461E-A22A-D33AA8CED20D}"/>
    <cellStyle name="Input 2 7" xfId="133" xr:uid="{3A7A4FB5-DFC6-41A0-9F58-57891690D6DD}"/>
    <cellStyle name="Input 2 8" xfId="1239" xr:uid="{7696710A-BA75-4FBE-952B-AD3CB6AA5416}"/>
    <cellStyle name="Input 20" xfId="458" xr:uid="{77C29BEE-4A45-4D9C-A7C0-BB4D2D6BA05D}"/>
    <cellStyle name="Input 20 10" xfId="1000" xr:uid="{336B7CF2-7574-4700-9D73-56712F007693}"/>
    <cellStyle name="Input 20 11" xfId="1214" xr:uid="{8A3B8D05-D78A-486B-A96F-DB7C24CB0F72}"/>
    <cellStyle name="Input 20 12" xfId="1042" xr:uid="{682F51F4-F977-44CD-82A2-E5978B259692}"/>
    <cellStyle name="Input 20 13" xfId="1118" xr:uid="{3F463BA7-5C70-4D12-86F2-3A8461236C73}"/>
    <cellStyle name="Input 20 14" xfId="150" xr:uid="{EC5CF8A4-D866-494C-9165-66049BA49C07}"/>
    <cellStyle name="Input 20 15" xfId="2394" xr:uid="{4C5DC1EF-6285-407C-A685-711F8AADCCB4}"/>
    <cellStyle name="Input 20 2" xfId="774" xr:uid="{038FBA23-39F5-42A9-8FC5-F2BDA41EC4B0}"/>
    <cellStyle name="Input 20 2 2" xfId="1397" xr:uid="{F0E51C64-63E9-4D69-B369-876120172AA0}"/>
    <cellStyle name="Input 20 2 3" xfId="1787" xr:uid="{D8A54892-4D7B-4CC9-B146-D1895382F9FA}"/>
    <cellStyle name="Input 20 2 4" xfId="2174" xr:uid="{8FA803CF-3080-468D-827A-2B31805718B0}"/>
    <cellStyle name="Input 20 2 5" xfId="2559" xr:uid="{8872D296-22D7-4914-94D3-50A45D6874AB}"/>
    <cellStyle name="Input 20 2 6" xfId="2935" xr:uid="{0C65D03B-6AB9-48FC-9806-0AD79A106C19}"/>
    <cellStyle name="Input 20 2 7" xfId="3302" xr:uid="{ACA742FB-15DA-4F0D-BCF8-53CB555508E8}"/>
    <cellStyle name="Input 20 2 8" xfId="3658" xr:uid="{2A50B7D2-C9B2-4C39-A567-907CF4190219}"/>
    <cellStyle name="Input 20 3" xfId="667" xr:uid="{60BD421C-CA69-4F85-834A-202D61A6D10C}"/>
    <cellStyle name="Input 20 3 2" xfId="1291" xr:uid="{BEA0F37E-5455-4D45-8C00-26C6D8C6D576}"/>
    <cellStyle name="Input 20 3 3" xfId="1682" xr:uid="{F9F752AD-2D3F-4E6E-8102-55EAC3240568}"/>
    <cellStyle name="Input 20 3 4" xfId="2068" xr:uid="{D0F92F60-174A-4B6F-BF21-1C70BF030A09}"/>
    <cellStyle name="Input 20 3 5" xfId="2454" xr:uid="{4AC52EF2-A929-4F9A-A379-1CFE6168F46F}"/>
    <cellStyle name="Input 20 3 6" xfId="2830" xr:uid="{FD282838-8628-4A7D-B93A-CF85B3385D44}"/>
    <cellStyle name="Input 20 3 7" xfId="3197" xr:uid="{0775B165-1744-499B-BBBD-80327CFF97B8}"/>
    <cellStyle name="Input 20 3 8" xfId="3553" xr:uid="{5A498B4B-EB10-40B3-91C4-6850D231D9EE}"/>
    <cellStyle name="Input 20 4" xfId="676" xr:uid="{F1734683-758A-46E3-BDF8-D0733CD719A9}"/>
    <cellStyle name="Input 20 4 2" xfId="1300" xr:uid="{150D6B8F-71CF-4387-9C24-62AF1E21E00F}"/>
    <cellStyle name="Input 20 4 3" xfId="1691" xr:uid="{2D0E7AE1-EF12-42AD-A44A-CDE4A2B4CE28}"/>
    <cellStyle name="Input 20 4 4" xfId="2077" xr:uid="{D8D5A8C3-9958-4522-93F3-C56510FD8769}"/>
    <cellStyle name="Input 20 4 5" xfId="2463" xr:uid="{830CAB40-B6FF-4FD6-9DD6-9BAD38A22ED7}"/>
    <cellStyle name="Input 20 4 6" xfId="2839" xr:uid="{5B931866-CAA6-4CE2-B186-4C489DCED78E}"/>
    <cellStyle name="Input 20 4 7" xfId="3206" xr:uid="{AA275443-7B50-4E89-841F-CC37D1CC9AAF}"/>
    <cellStyle name="Input 20 4 8" xfId="3562" xr:uid="{C9A04362-5CFB-4004-93D8-BDABA303AD5B}"/>
    <cellStyle name="Input 20 5" xfId="862" xr:uid="{EA535307-C3B4-4831-9205-542A17DB070D}"/>
    <cellStyle name="Input 20 5 2" xfId="1484" xr:uid="{A4C78B9A-2B9E-4245-9711-AFFE5C14F612}"/>
    <cellStyle name="Input 20 5 3" xfId="1874" xr:uid="{89AE7EAB-9B28-40B8-8CFD-D49EB65D4E8D}"/>
    <cellStyle name="Input 20 5 4" xfId="2261" xr:uid="{B83D8219-8531-49B7-AE00-A63D39DBF586}"/>
    <cellStyle name="Input 20 5 5" xfId="2646" xr:uid="{205BAEE4-303B-4A9F-B0F2-E0490591C160}"/>
    <cellStyle name="Input 20 5 6" xfId="3022" xr:uid="{89C6BEA2-2C5D-4FE2-947D-50BA8FEBA1A8}"/>
    <cellStyle name="Input 20 5 7" xfId="3389" xr:uid="{44114C70-6577-473D-BEC9-F80B7646F642}"/>
    <cellStyle name="Input 20 5 8" xfId="3745" xr:uid="{C6649797-C4EE-4193-A429-B29262845DF3}"/>
    <cellStyle name="Input 20 6" xfId="892" xr:uid="{E81FE956-5991-4D76-B5DF-FEE67EE535EB}"/>
    <cellStyle name="Input 20 6 2" xfId="1513" xr:uid="{BEA16287-5354-4BA8-8854-A74B6F547027}"/>
    <cellStyle name="Input 20 6 3" xfId="1904" xr:uid="{D25BDBA0-1177-4EC9-8286-FB33F280A01A}"/>
    <cellStyle name="Input 20 6 4" xfId="2290" xr:uid="{BDD52DAE-B21F-4288-B5AF-5FFA5801ECFC}"/>
    <cellStyle name="Input 20 6 5" xfId="2676" xr:uid="{A65AFF9B-4719-46DF-909A-1B10A2874733}"/>
    <cellStyle name="Input 20 6 6" xfId="3051" xr:uid="{5BB2133A-D6E0-4985-B5B5-FC0BF4DD270D}"/>
    <cellStyle name="Input 20 6 7" xfId="3418" xr:uid="{D2B9C039-C77B-46FA-B7BF-3FB33D5CBED5}"/>
    <cellStyle name="Input 20 6 8" xfId="3774" xr:uid="{63B5A21F-EF9E-489B-BE23-7D5BC2F42C25}"/>
    <cellStyle name="Input 20 7" xfId="954" xr:uid="{EBCFFA2C-BC61-4B6D-A208-A2541A9795E8}"/>
    <cellStyle name="Input 20 7 2" xfId="1575" xr:uid="{7CFA5CE6-184B-4F11-980E-5B3C49727EF8}"/>
    <cellStyle name="Input 20 7 3" xfId="1966" xr:uid="{53D80DF1-76C8-4CFC-9E2B-BC3CA4448B12}"/>
    <cellStyle name="Input 20 7 4" xfId="2352" xr:uid="{E1149CEA-5013-4CB8-BFD8-432A96EB5484}"/>
    <cellStyle name="Input 20 7 5" xfId="2738" xr:uid="{D598F6F6-D6B8-4899-BDFD-2D5D70E9A413}"/>
    <cellStyle name="Input 20 7 6" xfId="3113" xr:uid="{1D87339D-835F-4E1D-A4AE-5F5A99C4DA86}"/>
    <cellStyle name="Input 20 7 7" xfId="3480" xr:uid="{CB3E8029-B8FD-49D4-B876-28F78870715B}"/>
    <cellStyle name="Input 20 7 8" xfId="3835" xr:uid="{6EB36E71-0338-4C67-BCE2-AB65BC1874C9}"/>
    <cellStyle name="Input 20 8" xfId="957" xr:uid="{1BED86A8-E63C-4C69-9E92-F1183E04EF48}"/>
    <cellStyle name="Input 20 8 2" xfId="1578" xr:uid="{E5389614-542D-4BE6-AA5B-45260FD28095}"/>
    <cellStyle name="Input 20 8 3" xfId="1969" xr:uid="{193A868C-D30A-4DA7-A882-FABD772E11C1}"/>
    <cellStyle name="Input 20 8 4" xfId="2355" xr:uid="{A880733B-74D3-4188-9383-C92CB8CE9449}"/>
    <cellStyle name="Input 20 8 5" xfId="2741" xr:uid="{AEA483D0-EDC5-4519-811B-E660BF29EACC}"/>
    <cellStyle name="Input 20 8 6" xfId="3116" xr:uid="{834AFB63-9475-4224-AE39-2C1BD124D39D}"/>
    <cellStyle name="Input 20 8 7" xfId="3483" xr:uid="{8CDF0E12-1280-436A-BDA5-FB0A3A294388}"/>
    <cellStyle name="Input 20 8 8" xfId="3838" xr:uid="{D197EACA-6F5F-42A1-938C-7C377F4FE741}"/>
    <cellStyle name="Input 20 9" xfId="1144" xr:uid="{16CA756D-7668-4A17-AA55-4551BA3C1647}"/>
    <cellStyle name="Input 21" xfId="459" xr:uid="{C85B87B0-0FAF-4732-AB99-087F5ECAD192}"/>
    <cellStyle name="Input 21 10" xfId="152" xr:uid="{9ADBEE5E-B17A-4A39-B33C-34DA679E9D72}"/>
    <cellStyle name="Input 21 11" xfId="1184" xr:uid="{363E33A1-F97A-439B-A089-1D4726564870}"/>
    <cellStyle name="Input 21 12" xfId="1597" xr:uid="{61754B20-0AD2-4B7E-8BA7-8EFAE12DB286}"/>
    <cellStyle name="Input 21 13" xfId="1991" xr:uid="{73D72CB0-2CA2-4A47-B6BA-27D42F7A211A}"/>
    <cellStyle name="Input 21 14" xfId="2372" xr:uid="{0B7762D9-3290-4142-B0F9-D4E162F832E1}"/>
    <cellStyle name="Input 21 15" xfId="2760" xr:uid="{9FCC23B0-EDE7-4019-8159-E546AF215E96}"/>
    <cellStyle name="Input 21 2" xfId="775" xr:uid="{13973790-F99C-44ED-A129-0935C69BD17E}"/>
    <cellStyle name="Input 21 2 2" xfId="1398" xr:uid="{4164CA9A-5A85-48B4-883B-95633859DF63}"/>
    <cellStyle name="Input 21 2 3" xfId="1788" xr:uid="{FAF458E3-E20E-4483-B8FC-D66663AAB1A3}"/>
    <cellStyle name="Input 21 2 4" xfId="2175" xr:uid="{8BC68615-E68A-4E3C-8670-E639C2899D87}"/>
    <cellStyle name="Input 21 2 5" xfId="2560" xr:uid="{A564C647-C1F8-420A-9E6C-F34B08D0441F}"/>
    <cellStyle name="Input 21 2 6" xfId="2936" xr:uid="{F65E8699-25B5-4307-845F-4D92F26F3793}"/>
    <cellStyle name="Input 21 2 7" xfId="3303" xr:uid="{14C64A0C-ACB2-493F-83B6-CFBC12B99D6D}"/>
    <cellStyle name="Input 21 2 8" xfId="3659" xr:uid="{4A6A5C54-5670-4945-8CD9-683592FC6573}"/>
    <cellStyle name="Input 21 3" xfId="749" xr:uid="{80836BA9-6019-4FB4-A13E-2823C422CB2D}"/>
    <cellStyle name="Input 21 3 2" xfId="1372" xr:uid="{0C2C5F4D-A812-487A-8386-36982D21235F}"/>
    <cellStyle name="Input 21 3 3" xfId="1762" xr:uid="{970D5110-21EA-479B-98E4-329BE5BCFEA2}"/>
    <cellStyle name="Input 21 3 4" xfId="2149" xr:uid="{9A1CCA99-6C85-4CC8-A445-233F48380753}"/>
    <cellStyle name="Input 21 3 5" xfId="2534" xr:uid="{0986CC82-58F4-4DC0-BBC0-6BE4959B281D}"/>
    <cellStyle name="Input 21 3 6" xfId="2910" xr:uid="{6CA428B1-91C4-4796-B1FE-289907A7BD37}"/>
    <cellStyle name="Input 21 3 7" xfId="3277" xr:uid="{9FE0D9F4-613D-4E0D-87BD-BFEAEAFFB977}"/>
    <cellStyle name="Input 21 3 8" xfId="3633" xr:uid="{51938444-C47F-4B17-8405-F9DA401C6D0F}"/>
    <cellStyle name="Input 21 4" xfId="782" xr:uid="{59142539-EF79-449C-A60D-4F6BD0E4DAC8}"/>
    <cellStyle name="Input 21 4 2" xfId="1405" xr:uid="{4277D724-F04D-4674-AC3A-2366DE414B22}"/>
    <cellStyle name="Input 21 4 3" xfId="1795" xr:uid="{BCF7BD01-3BE4-4209-8CB8-366CF18B33DD}"/>
    <cellStyle name="Input 21 4 4" xfId="2182" xr:uid="{6C1E9F8A-6CFC-4A6B-9EAD-D19FAB5BD3EC}"/>
    <cellStyle name="Input 21 4 5" xfId="2567" xr:uid="{1357C93C-92E8-4412-A4D5-651D71742E31}"/>
    <cellStyle name="Input 21 4 6" xfId="2943" xr:uid="{A4443117-2625-45BD-9BE6-449699DB29CC}"/>
    <cellStyle name="Input 21 4 7" xfId="3310" xr:uid="{85A57BC8-9B7C-48C7-B1C8-A52918BF261E}"/>
    <cellStyle name="Input 21 4 8" xfId="3666" xr:uid="{604C3087-689C-43ED-9711-322028A3E2A2}"/>
    <cellStyle name="Input 21 5" xfId="780" xr:uid="{6EAF5608-CFB2-4EFB-A369-1777A1ED8FFC}"/>
    <cellStyle name="Input 21 5 2" xfId="1403" xr:uid="{3FB419F3-A641-4C5B-A5C0-DFA2231340D8}"/>
    <cellStyle name="Input 21 5 3" xfId="1793" xr:uid="{6DD589F7-180A-45F0-B8C9-DDA830D303CB}"/>
    <cellStyle name="Input 21 5 4" xfId="2180" xr:uid="{A4F63C3C-F817-4CC2-8B63-8642ACA523DA}"/>
    <cellStyle name="Input 21 5 5" xfId="2565" xr:uid="{436B86E6-3A10-4979-B96C-875CBD3C075B}"/>
    <cellStyle name="Input 21 5 6" xfId="2941" xr:uid="{6ED0AAD8-E40F-47AB-8ADE-24697BBB88F0}"/>
    <cellStyle name="Input 21 5 7" xfId="3308" xr:uid="{D856D679-8249-4AF9-A7A1-2CA0D298BCAA}"/>
    <cellStyle name="Input 21 5 8" xfId="3664" xr:uid="{C411AD8B-7B3B-4906-8AD6-62BE9E6ACB71}"/>
    <cellStyle name="Input 21 6" xfId="627" xr:uid="{E08475AD-E3B3-4B6C-9220-53631630A6EE}"/>
    <cellStyle name="Input 21 6 2" xfId="1251" xr:uid="{94548BB4-B1DC-4B28-83E5-F191DE47B9FD}"/>
    <cellStyle name="Input 21 6 3" xfId="1642" xr:uid="{E0A62A4A-3BE1-46A1-8637-889062B60A84}"/>
    <cellStyle name="Input 21 6 4" xfId="2029" xr:uid="{09AFDEDE-8405-4FDC-80D6-43E152FD5A5A}"/>
    <cellStyle name="Input 21 6 5" xfId="2414" xr:uid="{AC2818C1-2EF3-478F-8147-F8F51964D521}"/>
    <cellStyle name="Input 21 6 6" xfId="2791" xr:uid="{C07A9E47-547C-47D8-954C-E2B2AF2FCFA3}"/>
    <cellStyle name="Input 21 6 7" xfId="3157" xr:uid="{7C22331D-4AEA-41C2-A386-9ED5A5960C5C}"/>
    <cellStyle name="Input 21 6 8" xfId="3514" xr:uid="{4F1C778E-4D0F-4091-AC7C-A7EDACE0685E}"/>
    <cellStyle name="Input 21 7" xfId="833" xr:uid="{3C8D1D3D-6587-4964-914C-FB0F78D7452B}"/>
    <cellStyle name="Input 21 7 2" xfId="1455" xr:uid="{44E155F6-F513-42A2-A511-180E54E6ABDE}"/>
    <cellStyle name="Input 21 7 3" xfId="1845" xr:uid="{AFCBA00B-C009-412F-972B-9E0FB0106786}"/>
    <cellStyle name="Input 21 7 4" xfId="2232" xr:uid="{B7456FF7-DCF7-4ED0-AE27-95764EA4F19E}"/>
    <cellStyle name="Input 21 7 5" xfId="2617" xr:uid="{8CD395E1-1CB9-483E-AE0A-A96D00B3A0C7}"/>
    <cellStyle name="Input 21 7 6" xfId="2993" xr:uid="{80120628-FF0B-41BF-9130-D6771607ECA0}"/>
    <cellStyle name="Input 21 7 7" xfId="3360" xr:uid="{E5C9A0FE-BF51-486B-BA91-880FC06BCDAE}"/>
    <cellStyle name="Input 21 7 8" xfId="3716" xr:uid="{2FD9EE4C-DB74-49FB-8E3A-98242AC16FB0}"/>
    <cellStyle name="Input 21 8" xfId="786" xr:uid="{745BE85A-2B87-412B-987E-21B6A93DD7E0}"/>
    <cellStyle name="Input 21 8 2" xfId="1409" xr:uid="{9C87526D-9A64-43F1-B5BC-845D0712DB3F}"/>
    <cellStyle name="Input 21 8 3" xfId="1799" xr:uid="{0C4857CC-1FAA-4135-ACD0-6460DB1F9EC7}"/>
    <cellStyle name="Input 21 8 4" xfId="2186" xr:uid="{D5768D02-E013-441A-9B81-029D000AD0B8}"/>
    <cellStyle name="Input 21 8 5" xfId="2571" xr:uid="{B595FBB1-FBE4-4047-A7E3-99438BC509EE}"/>
    <cellStyle name="Input 21 8 6" xfId="2947" xr:uid="{20E5DFB9-EADF-49AA-8654-AE6841BF92C9}"/>
    <cellStyle name="Input 21 8 7" xfId="3314" xr:uid="{3BA34982-E52A-4154-B355-924E7F160C72}"/>
    <cellStyle name="Input 21 8 8" xfId="3670" xr:uid="{20FEABDF-016A-4F7F-9E70-C8350CFBED81}"/>
    <cellStyle name="Input 21 9" xfId="1145" xr:uid="{775D74DB-5B73-4194-A5D7-913B58A0A871}"/>
    <cellStyle name="Input 22" xfId="483" xr:uid="{E2363AA5-7A8A-43E9-9E1E-63B8A6C6D7DE}"/>
    <cellStyle name="Input 22 10" xfId="177" xr:uid="{F4BFC045-0E2C-41F7-ACD4-943D3D32E254}"/>
    <cellStyle name="Input 22 11" xfId="1124" xr:uid="{25D0F093-C9B0-4074-89CC-264B6B35400E}"/>
    <cellStyle name="Input 22 12" xfId="1107" xr:uid="{BA237EA4-F575-4D58-89D5-A7081188B90F}"/>
    <cellStyle name="Input 22 13" xfId="1996" xr:uid="{122905CE-896E-48E1-A893-6C4FDDC4A787}"/>
    <cellStyle name="Input 22 14" xfId="1046" xr:uid="{A5D4D87B-4715-4661-9980-9BF5BD78094C}"/>
    <cellStyle name="Input 22 15" xfId="2765" xr:uid="{DCAC73E5-42CB-4116-92BD-90718A473EB9}"/>
    <cellStyle name="Input 22 2" xfId="792" xr:uid="{DF6BB063-C3A2-4144-BA55-52AD0BA64790}"/>
    <cellStyle name="Input 22 2 2" xfId="1415" xr:uid="{EC56DD67-83C2-4C33-981B-582F8F2AB32E}"/>
    <cellStyle name="Input 22 2 3" xfId="1805" xr:uid="{2DC8F085-5392-40F6-83C3-B87C025F2E48}"/>
    <cellStyle name="Input 22 2 4" xfId="2192" xr:uid="{3F4C81CE-3C3A-486B-823B-712AED5D5464}"/>
    <cellStyle name="Input 22 2 5" xfId="2577" xr:uid="{BC346C87-DFCB-4C62-AD6E-B905AF74EBA7}"/>
    <cellStyle name="Input 22 2 6" xfId="2953" xr:uid="{AACFE0E1-9EE9-4272-BE17-B75547DC1671}"/>
    <cellStyle name="Input 22 2 7" xfId="3320" xr:uid="{E94BC689-16EE-4E96-A57A-BB9EA65A05A8}"/>
    <cellStyle name="Input 22 2 8" xfId="3676" xr:uid="{C9365E38-4E19-4D8A-B1E0-5B960DBC1782}"/>
    <cellStyle name="Input 22 3" xfId="631" xr:uid="{827E6EF8-B766-43A8-AE6B-4742CDB2AA00}"/>
    <cellStyle name="Input 22 3 2" xfId="1255" xr:uid="{944F017B-2C98-4DA2-AA40-6959380DBD88}"/>
    <cellStyle name="Input 22 3 3" xfId="1646" xr:uid="{9052283D-FF9D-4983-A42D-DBDA3263D2B3}"/>
    <cellStyle name="Input 22 3 4" xfId="2033" xr:uid="{FAFFD399-92A8-42AE-95DF-F307A6BA4E2B}"/>
    <cellStyle name="Input 22 3 5" xfId="2418" xr:uid="{E142CB7D-54F3-4DDD-BA17-161EC72545B7}"/>
    <cellStyle name="Input 22 3 6" xfId="2795" xr:uid="{F75C5D25-861B-4088-90D9-C521ED779109}"/>
    <cellStyle name="Input 22 3 7" xfId="3161" xr:uid="{4672C492-55E5-4BFF-BC66-5BE1B6B4B8A8}"/>
    <cellStyle name="Input 22 3 8" xfId="3518" xr:uid="{DFF30DAE-9985-4C3A-80D5-918F07B6B749}"/>
    <cellStyle name="Input 22 4" xfId="830" xr:uid="{FDAE2EA2-64AA-42C5-8BB8-2B8BF77F8E7B}"/>
    <cellStyle name="Input 22 4 2" xfId="1452" xr:uid="{CC846CA6-1FDB-41FB-9570-76D006EF5A44}"/>
    <cellStyle name="Input 22 4 3" xfId="1842" xr:uid="{46C45321-4AB0-4B15-B2B7-9EA6FA4EC933}"/>
    <cellStyle name="Input 22 4 4" xfId="2229" xr:uid="{C5F28FC8-E6CF-4190-9EE5-8E85F65C550C}"/>
    <cellStyle name="Input 22 4 5" xfId="2614" xr:uid="{788616E3-D751-46F9-BE52-CBC26F2C220B}"/>
    <cellStyle name="Input 22 4 6" xfId="2990" xr:uid="{8A11B554-71CA-4AAB-B5A4-71701BF956CA}"/>
    <cellStyle name="Input 22 4 7" xfId="3357" xr:uid="{993D4ACB-2F02-4B1A-87EC-C718B9C00222}"/>
    <cellStyle name="Input 22 4 8" xfId="3713" xr:uid="{3BCE8C4F-74D7-4F2F-AA08-5AA65B063610}"/>
    <cellStyle name="Input 22 5" xfId="655" xr:uid="{5564B1BF-F198-4AD2-9493-AAF4E2B418B1}"/>
    <cellStyle name="Input 22 5 2" xfId="1279" xr:uid="{4A2D37C5-B10C-4C07-9B9A-EF3B0251A765}"/>
    <cellStyle name="Input 22 5 3" xfId="1670" xr:uid="{39E98A20-A496-4431-B978-F7EA9647AB6C}"/>
    <cellStyle name="Input 22 5 4" xfId="2056" xr:uid="{8FCA846E-821F-422E-B715-610AB98D4E4C}"/>
    <cellStyle name="Input 22 5 5" xfId="2442" xr:uid="{7D968F2A-7DAF-45A1-8BE9-735903E61D40}"/>
    <cellStyle name="Input 22 5 6" xfId="2818" xr:uid="{1FF21ACC-4375-4170-8C06-6672739B7A8E}"/>
    <cellStyle name="Input 22 5 7" xfId="3185" xr:uid="{A3B0DA9F-96DC-43AE-AD0D-B8365C349E9D}"/>
    <cellStyle name="Input 22 5 8" xfId="3541" xr:uid="{5C62DA31-A060-4E49-BACF-AFFB780C7ACE}"/>
    <cellStyle name="Input 22 6" xfId="791" xr:uid="{13A7B87D-AE5C-4A3B-B667-A857E03D700A}"/>
    <cellStyle name="Input 22 6 2" xfId="1414" xr:uid="{6AB125F7-A656-46D8-8A2F-C6A7F7CF1EA3}"/>
    <cellStyle name="Input 22 6 3" xfId="1804" xr:uid="{D35C9FC5-49AE-43C9-BB60-4B8606609252}"/>
    <cellStyle name="Input 22 6 4" xfId="2191" xr:uid="{5A16BC30-2EF7-421C-BF99-80DAA5628C17}"/>
    <cellStyle name="Input 22 6 5" xfId="2576" xr:uid="{4275FAA6-EEEA-4D91-BC80-C669D0FDC79B}"/>
    <cellStyle name="Input 22 6 6" xfId="2952" xr:uid="{0B0FCE3F-A0A8-4FF2-A0F2-329E144DFF3A}"/>
    <cellStyle name="Input 22 6 7" xfId="3319" xr:uid="{34C7F47D-3172-4232-A20F-8425D9C0CAA1}"/>
    <cellStyle name="Input 22 6 8" xfId="3675" xr:uid="{7C2FE13A-F99D-43A8-8F93-8E0A895C2CE7}"/>
    <cellStyle name="Input 22 7" xfId="947" xr:uid="{95BF70BC-9729-4563-97D9-37594A1E6E6F}"/>
    <cellStyle name="Input 22 7 2" xfId="1568" xr:uid="{18FEBE8B-7D80-4C0C-A35B-E2966F8BAE96}"/>
    <cellStyle name="Input 22 7 3" xfId="1959" xr:uid="{E044A733-BA88-4783-9C3B-B95A6E500D04}"/>
    <cellStyle name="Input 22 7 4" xfId="2345" xr:uid="{86F786A5-94F8-4950-BC3E-D9E9FF791008}"/>
    <cellStyle name="Input 22 7 5" xfId="2731" xr:uid="{25B45E02-71A9-4EA7-B0FF-18E842374BA5}"/>
    <cellStyle name="Input 22 7 6" xfId="3106" xr:uid="{7A663668-584D-42AB-9AC8-D78E88DAA279}"/>
    <cellStyle name="Input 22 7 7" xfId="3473" xr:uid="{0C4AF5DE-F3B7-4BE4-A5FF-BA46B6DDD223}"/>
    <cellStyle name="Input 22 7 8" xfId="3828" xr:uid="{5A5CF0FC-21EA-44F7-8687-92A3299EF5FD}"/>
    <cellStyle name="Input 22 8" xfId="722" xr:uid="{CBFA7010-6C97-4F64-80C1-0279DE5598EB}"/>
    <cellStyle name="Input 22 8 2" xfId="1345" xr:uid="{CC5B5C5B-1DA3-4293-89C5-0812DB42A4C6}"/>
    <cellStyle name="Input 22 8 3" xfId="1736" xr:uid="{67638060-3B5C-42EA-AF4B-E72FB8878461}"/>
    <cellStyle name="Input 22 8 4" xfId="2122" xr:uid="{EC04775E-CD4A-4E8C-9A55-52660E03F82C}"/>
    <cellStyle name="Input 22 8 5" xfId="2508" xr:uid="{AEA3A396-F7EF-4C6D-8B47-24C2461587CF}"/>
    <cellStyle name="Input 22 8 6" xfId="2884" xr:uid="{8DD2305A-2E60-4393-BB8F-A45D05E05B2F}"/>
    <cellStyle name="Input 22 8 7" xfId="3251" xr:uid="{3294C2EC-5B0A-4B5E-AA66-8C2086851896}"/>
    <cellStyle name="Input 22 8 8" xfId="3607" xr:uid="{9A5FD5C6-A68A-48D4-9178-A240788C5813}"/>
    <cellStyle name="Input 22 9" xfId="1161" xr:uid="{16B21309-0450-4FAD-994E-CDC4B0B19DCB}"/>
    <cellStyle name="Input 23" xfId="485" xr:uid="{D6838AF3-4511-491F-AC51-1CE2FB37E3A7}"/>
    <cellStyle name="Input 23 10" xfId="1027" xr:uid="{23FA06FB-150F-4B40-BC18-6B31A144AB3B}"/>
    <cellStyle name="Input 23 11" xfId="1234" xr:uid="{759973D0-853F-4B25-815B-192BD857220F}"/>
    <cellStyle name="Input 23 12" xfId="1609" xr:uid="{0FA9B0F4-4543-4A09-8719-FD9176B6E0EA}"/>
    <cellStyle name="Input 23 13" xfId="1616" xr:uid="{92759224-946A-431E-961C-F9B0079B0001}"/>
    <cellStyle name="Input 23 14" xfId="2380" xr:uid="{0B06E59A-2521-45FA-8345-6FEB3AFD47A0}"/>
    <cellStyle name="Input 23 15" xfId="1987" xr:uid="{C60521AE-2974-431F-84AD-D6E014DCF930}"/>
    <cellStyle name="Input 23 2" xfId="794" xr:uid="{55480422-4C32-4B89-9374-973F31CF40EE}"/>
    <cellStyle name="Input 23 2 2" xfId="1417" xr:uid="{33CFBC2A-383F-4861-A913-345DDE9D563C}"/>
    <cellStyle name="Input 23 2 3" xfId="1807" xr:uid="{DB444EFA-EA75-4138-A3BC-D65D3540C5EC}"/>
    <cellStyle name="Input 23 2 4" xfId="2194" xr:uid="{65D8EEC2-0147-4F13-AA61-AFE8289C451F}"/>
    <cellStyle name="Input 23 2 5" xfId="2579" xr:uid="{1F25FC24-1C7C-435F-A375-7FB9A703C5C3}"/>
    <cellStyle name="Input 23 2 6" xfId="2955" xr:uid="{9040E295-72EE-4145-A900-A704A7F4A4A3}"/>
    <cellStyle name="Input 23 2 7" xfId="3322" xr:uid="{B9240E60-F550-4350-B193-5734A18B0425}"/>
    <cellStyle name="Input 23 2 8" xfId="3678" xr:uid="{FA65FD88-FDE4-4174-BDDA-1F8D39713C55}"/>
    <cellStyle name="Input 23 3" xfId="650" xr:uid="{A02908F9-149A-4ECB-91B0-636508D67B21}"/>
    <cellStyle name="Input 23 3 2" xfId="1274" xr:uid="{379F6B78-DACA-47E7-B220-55D75CBFAA32}"/>
    <cellStyle name="Input 23 3 3" xfId="1665" xr:uid="{6B7598F6-211C-4D55-AB58-77AAEEE3DC00}"/>
    <cellStyle name="Input 23 3 4" xfId="2051" xr:uid="{E4E2729C-F063-47E9-A56B-CE6FA893B369}"/>
    <cellStyle name="Input 23 3 5" xfId="2437" xr:uid="{48F2AB75-DF92-4B5C-8F0E-491804C1ABFB}"/>
    <cellStyle name="Input 23 3 6" xfId="2813" xr:uid="{0675C4B3-1110-4FEA-89B1-51A0BA98344C}"/>
    <cellStyle name="Input 23 3 7" xfId="3180" xr:uid="{978380F9-E375-48FA-80BC-3786102E7FC0}"/>
    <cellStyle name="Input 23 3 8" xfId="3536" xr:uid="{2DECA224-08C7-480C-BB21-95A98E3D3F5B}"/>
    <cellStyle name="Input 23 4" xfId="747" xr:uid="{9FF0AC1C-1BFD-40D1-88AF-31D2A85EEBA2}"/>
    <cellStyle name="Input 23 4 2" xfId="1370" xr:uid="{A0AECBA8-29DB-4799-9076-849FE05B8C63}"/>
    <cellStyle name="Input 23 4 3" xfId="1760" xr:uid="{3DFC19A0-E115-4001-B30D-C9EBCFC02BFA}"/>
    <cellStyle name="Input 23 4 4" xfId="2147" xr:uid="{FCBC76D9-48FE-4C94-9C29-01340B2FAA7A}"/>
    <cellStyle name="Input 23 4 5" xfId="2532" xr:uid="{0721B7A1-CE43-4624-8054-792911210B13}"/>
    <cellStyle name="Input 23 4 6" xfId="2908" xr:uid="{8BDDCAA8-0489-4CA0-9325-869561348922}"/>
    <cellStyle name="Input 23 4 7" xfId="3275" xr:uid="{BD6210B3-6F02-409F-A7BE-E903F6340BC3}"/>
    <cellStyle name="Input 23 4 8" xfId="3631" xr:uid="{078E72CD-8139-4C40-BA00-04A9818D3C05}"/>
    <cellStyle name="Input 23 5" xfId="737" xr:uid="{2FDF8B37-9C28-4517-A4F4-5F65AE97D1F4}"/>
    <cellStyle name="Input 23 5 2" xfId="1360" xr:uid="{D4ECF661-69EE-4C90-88BB-651EF89056CC}"/>
    <cellStyle name="Input 23 5 3" xfId="1750" xr:uid="{8A2F043E-4EA6-4398-A432-06A48B8E3367}"/>
    <cellStyle name="Input 23 5 4" xfId="2137" xr:uid="{103FD48C-12E7-49CC-9659-015D7B423129}"/>
    <cellStyle name="Input 23 5 5" xfId="2522" xr:uid="{5EC3F873-D23E-4BA3-B63D-195F05D0D28F}"/>
    <cellStyle name="Input 23 5 6" xfId="2898" xr:uid="{4FA5AF34-854D-4BA3-9529-54EA9F10FD77}"/>
    <cellStyle name="Input 23 5 7" xfId="3265" xr:uid="{F51AD159-EF75-438C-8763-8E73EE49C3CD}"/>
    <cellStyle name="Input 23 5 8" xfId="3621" xr:uid="{AB70CB7E-35EB-437B-B4D9-B7F8DE38514C}"/>
    <cellStyle name="Input 23 6" xfId="707" xr:uid="{3BEA1FCF-102D-4C46-AE8B-D67464886C66}"/>
    <cellStyle name="Input 23 6 2" xfId="1330" xr:uid="{EAEAE522-EE78-4BE8-9FFF-9BA22948F36D}"/>
    <cellStyle name="Input 23 6 3" xfId="1721" xr:uid="{A82DD1B8-B900-47C5-B598-47200B82FDE6}"/>
    <cellStyle name="Input 23 6 4" xfId="2107" xr:uid="{E0AF8411-1DDE-4C7F-A32A-C11EB58A3C71}"/>
    <cellStyle name="Input 23 6 5" xfId="2493" xr:uid="{B92EB01B-5CBF-4A47-91DB-D800A97D4610}"/>
    <cellStyle name="Input 23 6 6" xfId="2869" xr:uid="{539C23A7-99EC-4747-879D-452844091E9C}"/>
    <cellStyle name="Input 23 6 7" xfId="3236" xr:uid="{2EE4F8B6-0B85-4141-8523-D8BFFD234061}"/>
    <cellStyle name="Input 23 6 8" xfId="3592" xr:uid="{6E38C39C-DF84-4D1F-BE43-65EE3C647D3E}"/>
    <cellStyle name="Input 23 7" xfId="756" xr:uid="{8F028F32-A2B2-4F11-9117-B3144EC91551}"/>
    <cellStyle name="Input 23 7 2" xfId="1379" xr:uid="{48D47D60-F816-4429-BB71-A17F481323A9}"/>
    <cellStyle name="Input 23 7 3" xfId="1769" xr:uid="{6F314BE1-7DE4-4E5C-A51D-4622B922099B}"/>
    <cellStyle name="Input 23 7 4" xfId="2156" xr:uid="{56BECB1B-0833-4298-8CCB-9D602CDB47C8}"/>
    <cellStyle name="Input 23 7 5" xfId="2541" xr:uid="{2F4A8550-D671-4A29-89EA-8B983BE637A2}"/>
    <cellStyle name="Input 23 7 6" xfId="2917" xr:uid="{A0DA2143-27E1-4B35-82D0-60C1A891177A}"/>
    <cellStyle name="Input 23 7 7" xfId="3284" xr:uid="{3D34D405-34B6-41F0-95EE-FA69144D6FCB}"/>
    <cellStyle name="Input 23 7 8" xfId="3640" xr:uid="{319E60B9-8340-41E5-B904-C67493001DB0}"/>
    <cellStyle name="Input 23 8" xfId="922" xr:uid="{3711682B-D88E-4876-9228-AED9239A4F98}"/>
    <cellStyle name="Input 23 8 2" xfId="1543" xr:uid="{30706140-1867-4916-B788-BDAD5FEFF063}"/>
    <cellStyle name="Input 23 8 3" xfId="1934" xr:uid="{8FDE21A6-6C15-440C-967A-028F241AF9C6}"/>
    <cellStyle name="Input 23 8 4" xfId="2320" xr:uid="{430DBA22-6990-4A8C-A197-C5869B84B687}"/>
    <cellStyle name="Input 23 8 5" xfId="2706" xr:uid="{7FA9CCF5-9008-4E42-AE62-2D3C9942B38C}"/>
    <cellStyle name="Input 23 8 6" xfId="3081" xr:uid="{FD94A893-890C-4A76-8DAE-7D674D63AD0D}"/>
    <cellStyle name="Input 23 8 7" xfId="3448" xr:uid="{A3385DF4-0229-4C7F-8189-CB44BA2B96C5}"/>
    <cellStyle name="Input 23 8 8" xfId="3803" xr:uid="{7BC116B9-CDBF-4D8B-ABA0-AF0F1FA4A4DB}"/>
    <cellStyle name="Input 23 9" xfId="1162" xr:uid="{829CF053-258B-4723-91CF-26CF1C059983}"/>
    <cellStyle name="Input 24" xfId="486" xr:uid="{0FB26290-8ED8-4714-88C4-E5EA5CF94892}"/>
    <cellStyle name="Input 24 10" xfId="1102" xr:uid="{8382EC8F-8019-4138-B63B-D4D7DC1E28C7}"/>
    <cellStyle name="Input 24 11" xfId="1087" xr:uid="{ED58C0DE-D7CE-4C32-8091-B3037E3AF79E}"/>
    <cellStyle name="Input 24 12" xfId="1117" xr:uid="{578010BA-A5EE-4844-932B-EB3398FF9C9F}"/>
    <cellStyle name="Input 24 13" xfId="1095" xr:uid="{F526D9B7-C72A-44B5-A957-6CEA4EB30CBC}"/>
    <cellStyle name="Input 24 14" xfId="2381" xr:uid="{D4B646FD-036D-42C3-A96C-B67D7B769DA9}"/>
    <cellStyle name="Input 24 15" xfId="1080" xr:uid="{6C94C0A3-1099-4838-866D-AE01B6C685B5}"/>
    <cellStyle name="Input 24 2" xfId="795" xr:uid="{BE3AB771-733C-41A8-93E7-2A24C7F97A70}"/>
    <cellStyle name="Input 24 2 2" xfId="1418" xr:uid="{FD6CB1E9-F36A-45A5-B359-1AE832DB2705}"/>
    <cellStyle name="Input 24 2 3" xfId="1808" xr:uid="{BFE5738B-A2BA-472D-B3D7-3E3F7FD9DD77}"/>
    <cellStyle name="Input 24 2 4" xfId="2195" xr:uid="{6A9BAF69-0773-4163-A429-DC722A5C5270}"/>
    <cellStyle name="Input 24 2 5" xfId="2580" xr:uid="{02E551C7-7986-4262-B6DC-21B637F48DEE}"/>
    <cellStyle name="Input 24 2 6" xfId="2956" xr:uid="{F9258A1A-3ED2-4147-9332-2BB6B89006D1}"/>
    <cellStyle name="Input 24 2 7" xfId="3323" xr:uid="{16296297-C784-4597-952D-4921A57D88BD}"/>
    <cellStyle name="Input 24 2 8" xfId="3679" xr:uid="{118A8E2A-5AA1-4B02-A534-F5C1AEFD0E03}"/>
    <cellStyle name="Input 24 3" xfId="626" xr:uid="{1501EB95-35D6-4EB4-86FF-82C7EC25D092}"/>
    <cellStyle name="Input 24 3 2" xfId="1250" xr:uid="{80CB6A85-FD23-48B7-A158-AA416D22A47A}"/>
    <cellStyle name="Input 24 3 3" xfId="1641" xr:uid="{DF2A0448-89A3-4D48-90EB-091AA3DF10B7}"/>
    <cellStyle name="Input 24 3 4" xfId="2028" xr:uid="{C2CD085B-A90F-4DFE-8DD2-5B08951251A3}"/>
    <cellStyle name="Input 24 3 5" xfId="2413" xr:uid="{22A67992-E4CB-41F4-9653-718512617318}"/>
    <cellStyle name="Input 24 3 6" xfId="2790" xr:uid="{222DB70F-624A-4249-AFCF-3396D2AFA8FC}"/>
    <cellStyle name="Input 24 3 7" xfId="3156" xr:uid="{D16C96B7-4605-4E2C-9C01-87610CEC953D}"/>
    <cellStyle name="Input 24 3 8" xfId="3513" xr:uid="{C5845857-C0CC-4E7D-B80D-20A1F0B1F3B1}"/>
    <cellStyle name="Input 24 4" xfId="876" xr:uid="{31CA72C6-A878-4852-B997-61C693836230}"/>
    <cellStyle name="Input 24 4 2" xfId="1498" xr:uid="{53A2A3E6-CABD-4F11-85B2-5C2C97FDA194}"/>
    <cellStyle name="Input 24 4 3" xfId="1888" xr:uid="{73054F4E-62ED-4C8D-A2D5-5B7D24168EA5}"/>
    <cellStyle name="Input 24 4 4" xfId="2275" xr:uid="{762CF88F-4E60-49EB-8BEB-A08481469AB3}"/>
    <cellStyle name="Input 24 4 5" xfId="2660" xr:uid="{C0F9DEA2-7214-446E-B87F-3248FF2660F6}"/>
    <cellStyle name="Input 24 4 6" xfId="3036" xr:uid="{EB72A0FD-9325-4AC9-AB5A-A86864F08113}"/>
    <cellStyle name="Input 24 4 7" xfId="3403" xr:uid="{CEC1883D-0829-4D91-9E0A-D51B129D3125}"/>
    <cellStyle name="Input 24 4 8" xfId="3759" xr:uid="{A478D6ED-1F4B-45F2-A5D5-05303F41CF2E}"/>
    <cellStyle name="Input 24 5" xfId="691" xr:uid="{399CD6A8-145B-441E-8E38-08CB5BC258EB}"/>
    <cellStyle name="Input 24 5 2" xfId="1314" xr:uid="{4871ABFB-9AE4-4B36-AFBC-7C5FD0D6265D}"/>
    <cellStyle name="Input 24 5 3" xfId="1705" xr:uid="{5FB6CE40-360A-4321-9BF0-83A0040E7655}"/>
    <cellStyle name="Input 24 5 4" xfId="2091" xr:uid="{40EB12E5-4D48-4EB2-83CD-1DC63FA0342C}"/>
    <cellStyle name="Input 24 5 5" xfId="2477" xr:uid="{17CCE445-2993-4215-BAAB-A552D60D139E}"/>
    <cellStyle name="Input 24 5 6" xfId="2853" xr:uid="{247EC251-CEAF-4F37-B97B-CB33AAC06AD7}"/>
    <cellStyle name="Input 24 5 7" xfId="3220" xr:uid="{558328C5-6E4D-4780-91DD-12B23387F328}"/>
    <cellStyle name="Input 24 5 8" xfId="3576" xr:uid="{B204BD55-1415-4E14-960D-5D2FD19184D3}"/>
    <cellStyle name="Input 24 6" xfId="809" xr:uid="{E960FFB5-2FC0-4F5D-BFE5-10683BC5AD06}"/>
    <cellStyle name="Input 24 6 2" xfId="1432" xr:uid="{E60DE441-A24E-4C89-849E-F99256428B02}"/>
    <cellStyle name="Input 24 6 3" xfId="1822" xr:uid="{3D926579-5D53-44F8-9611-E024F3407998}"/>
    <cellStyle name="Input 24 6 4" xfId="2209" xr:uid="{79F34FE8-DE02-48AD-AE39-CA6AEFA1C93C}"/>
    <cellStyle name="Input 24 6 5" xfId="2594" xr:uid="{4DE41A80-0D20-4388-9C11-22B939625E57}"/>
    <cellStyle name="Input 24 6 6" xfId="2970" xr:uid="{AA624557-FA26-40FA-BB7F-86495CE9A4F0}"/>
    <cellStyle name="Input 24 6 7" xfId="3337" xr:uid="{2C6F5566-0E21-45F7-B486-FA9FB56C3C73}"/>
    <cellStyle name="Input 24 6 8" xfId="3693" xr:uid="{E8994248-FA94-4F8B-9D7D-E1C6F7E676EE}"/>
    <cellStyle name="Input 24 7" xfId="718" xr:uid="{0F9F4424-A14A-4B84-91B6-643BA2C20D2C}"/>
    <cellStyle name="Input 24 7 2" xfId="1341" xr:uid="{79DF17C9-0280-4ECE-AE5C-DC8F44320612}"/>
    <cellStyle name="Input 24 7 3" xfId="1732" xr:uid="{1A47F913-785C-41D4-ADCE-9AC0E78DE14F}"/>
    <cellStyle name="Input 24 7 4" xfId="2118" xr:uid="{19E2B5D5-2D95-4A2C-AA7A-4ADFE885AB83}"/>
    <cellStyle name="Input 24 7 5" xfId="2504" xr:uid="{D6470FB0-5196-4EB2-B68A-9BD628B10153}"/>
    <cellStyle name="Input 24 7 6" xfId="2880" xr:uid="{A5D047B7-3F62-4A9E-8A69-3DCDC1BEA227}"/>
    <cellStyle name="Input 24 7 7" xfId="3247" xr:uid="{EC155341-286A-48C1-81FD-96BF69F666C5}"/>
    <cellStyle name="Input 24 7 8" xfId="3603" xr:uid="{345D7246-784A-4AA0-A167-11D5EC10F9A9}"/>
    <cellStyle name="Input 24 8" xfId="958" xr:uid="{FBBA0750-1561-40BA-A0E1-36677D384BE4}"/>
    <cellStyle name="Input 24 8 2" xfId="1579" xr:uid="{60A3B306-75A6-4C06-B87E-B5E3FC8BFB2E}"/>
    <cellStyle name="Input 24 8 3" xfId="1970" xr:uid="{D73E7090-6319-4A49-B099-4DEBBE071A65}"/>
    <cellStyle name="Input 24 8 4" xfId="2356" xr:uid="{357FD78A-C465-4E8E-8F23-6E07290B45A2}"/>
    <cellStyle name="Input 24 8 5" xfId="2742" xr:uid="{FFC70563-C393-46C4-A832-3448B5321AA8}"/>
    <cellStyle name="Input 24 8 6" xfId="3117" xr:uid="{0FED4017-A5D5-4C12-89BE-97E2B2D180FE}"/>
    <cellStyle name="Input 24 8 7" xfId="3484" xr:uid="{DCDD9B49-D536-40F3-9F6F-FF1EAE97B6D9}"/>
    <cellStyle name="Input 24 8 8" xfId="3839" xr:uid="{585173D6-7F39-43DB-B832-51D2780028D5}"/>
    <cellStyle name="Input 24 9" xfId="1163" xr:uid="{FF8C6F21-CC30-4FE0-A4D5-67BA48C30D1D}"/>
    <cellStyle name="Input 25" xfId="487" xr:uid="{4C72BDD4-FBE3-4947-AA04-1ECDC9C51AA4}"/>
    <cellStyle name="Input 25 10" xfId="176" xr:uid="{646A617D-379D-4B8E-8966-527740A5578B}"/>
    <cellStyle name="Input 25 11" xfId="1206" xr:uid="{83805999-68CE-4DCA-8BDF-E09D14C88F00}"/>
    <cellStyle name="Input 25 12" xfId="1225" xr:uid="{49BF188B-A8AA-4AC9-8FB5-D7C164D78B8D}"/>
    <cellStyle name="Input 25 13" xfId="2388" xr:uid="{1DBAD751-A56E-4301-935E-29D75B8F1ABB}"/>
    <cellStyle name="Input 25 14" xfId="153" xr:uid="{4B88EC40-B49C-4D3B-898D-FDC10205578B}"/>
    <cellStyle name="Input 25 15" xfId="3139" xr:uid="{54B01CC8-9B29-4C75-BA4C-A9C82DE08F22}"/>
    <cellStyle name="Input 25 2" xfId="796" xr:uid="{1DFF110B-C94C-4E23-8D85-25C7ED7D23E0}"/>
    <cellStyle name="Input 25 2 2" xfId="1419" xr:uid="{19185491-1539-42C2-81C1-212281C7D6B8}"/>
    <cellStyle name="Input 25 2 3" xfId="1809" xr:uid="{F9C44ABA-E994-43AE-AACC-31A0B2D98A5F}"/>
    <cellStyle name="Input 25 2 4" xfId="2196" xr:uid="{4AE862BD-0274-430E-993B-0C8122250574}"/>
    <cellStyle name="Input 25 2 5" xfId="2581" xr:uid="{5A904773-DA9A-4E1D-881D-F3A1CF8A49FE}"/>
    <cellStyle name="Input 25 2 6" xfId="2957" xr:uid="{4E02CAAA-BB10-48AA-BDE9-314D4D248E9B}"/>
    <cellStyle name="Input 25 2 7" xfId="3324" xr:uid="{3B1ACDF6-5179-40A7-9380-0AD77ED3452F}"/>
    <cellStyle name="Input 25 2 8" xfId="3680" xr:uid="{BD80356D-3A0E-4371-95B7-A5DCDCFA4DE5}"/>
    <cellStyle name="Input 25 3" xfId="625" xr:uid="{31627623-84AE-4573-9967-D295EAC06C88}"/>
    <cellStyle name="Input 25 3 2" xfId="1249" xr:uid="{E3BDFA4A-F76F-4720-AC6E-C3A142BBEBE0}"/>
    <cellStyle name="Input 25 3 3" xfId="1640" xr:uid="{C2C1F695-39FE-495B-9B33-CDA24E9FA84A}"/>
    <cellStyle name="Input 25 3 4" xfId="2027" xr:uid="{24BF7E05-0D8C-419B-892B-3342501CEFD2}"/>
    <cellStyle name="Input 25 3 5" xfId="2412" xr:uid="{627BFD5D-41A3-46C4-8DE7-BB4135B4AF72}"/>
    <cellStyle name="Input 25 3 6" xfId="2789" xr:uid="{77F4BCBB-81A7-49D2-8EA3-AE4D9ACA1203}"/>
    <cellStyle name="Input 25 3 7" xfId="3155" xr:uid="{58039792-F42D-4596-AA9C-6D373BF864A7}"/>
    <cellStyle name="Input 25 3 8" xfId="3512" xr:uid="{D65BF970-9F56-4589-A214-1F43E7E0DB27}"/>
    <cellStyle name="Input 25 4" xfId="831" xr:uid="{C669A560-DAC3-43D4-82C1-9C8CD6685847}"/>
    <cellStyle name="Input 25 4 2" xfId="1453" xr:uid="{977B606B-E01D-4248-97ED-D198DF40ED10}"/>
    <cellStyle name="Input 25 4 3" xfId="1843" xr:uid="{54C712C9-937A-44D8-9398-5F7F6EF4DA70}"/>
    <cellStyle name="Input 25 4 4" xfId="2230" xr:uid="{FA688FAC-2A28-4BAF-8D50-F0C1852B932F}"/>
    <cellStyle name="Input 25 4 5" xfId="2615" xr:uid="{FDBDEAC1-8312-4E38-97D3-BAD8D0418342}"/>
    <cellStyle name="Input 25 4 6" xfId="2991" xr:uid="{CD6B9CC3-09A1-480B-8A9D-7DA7CFBC94DB}"/>
    <cellStyle name="Input 25 4 7" xfId="3358" xr:uid="{6AABD5EA-B468-45A2-A37B-F8287E0EC68B}"/>
    <cellStyle name="Input 25 4 8" xfId="3714" xr:uid="{9C55A847-8876-4E4C-846E-82FFBED72A4F}"/>
    <cellStyle name="Input 25 5" xfId="689" xr:uid="{314CDB8B-1835-4E2A-87BF-8120B46F5A3F}"/>
    <cellStyle name="Input 25 5 2" xfId="1312" xr:uid="{0ED08367-586E-46F1-822F-03B5C537F431}"/>
    <cellStyle name="Input 25 5 3" xfId="1703" xr:uid="{0BD5F028-EABD-48A5-AF5F-7B5A4233701E}"/>
    <cellStyle name="Input 25 5 4" xfId="2089" xr:uid="{B4F7D8B4-8F48-4B13-9FF6-4242E588C0D1}"/>
    <cellStyle name="Input 25 5 5" xfId="2475" xr:uid="{DA1CE5B2-C5D5-4D11-9C34-836373235CC2}"/>
    <cellStyle name="Input 25 5 6" xfId="2851" xr:uid="{C6C496B6-B757-4776-BF39-34D4DD03FFFE}"/>
    <cellStyle name="Input 25 5 7" xfId="3218" xr:uid="{FE24C183-CC8D-406E-98B1-35A5F32F5801}"/>
    <cellStyle name="Input 25 5 8" xfId="3574" xr:uid="{6133D346-344C-4196-AC77-ACD7F4B67BCC}"/>
    <cellStyle name="Input 25 6" xfId="680" xr:uid="{8D4AD4B3-130C-4CFC-A32F-2526D8D41789}"/>
    <cellStyle name="Input 25 6 2" xfId="1304" xr:uid="{4589054D-AE96-4F61-AE00-21BD852B3C61}"/>
    <cellStyle name="Input 25 6 3" xfId="1695" xr:uid="{B4AC5510-15A0-4F14-9E0B-781A42D80DB3}"/>
    <cellStyle name="Input 25 6 4" xfId="2081" xr:uid="{550EFCBF-B7FE-4681-AA7D-32F86B05AA3F}"/>
    <cellStyle name="Input 25 6 5" xfId="2467" xr:uid="{7D91B378-55E7-4DA1-869C-DB644E1474A9}"/>
    <cellStyle name="Input 25 6 6" xfId="2843" xr:uid="{BCF1EF7E-C924-4208-92DB-9895A85C7F4F}"/>
    <cellStyle name="Input 25 6 7" xfId="3210" xr:uid="{F8F83FA4-7775-4620-B5EA-6B90BF8C7E74}"/>
    <cellStyle name="Input 25 6 8" xfId="3566" xr:uid="{8CB65914-788D-4347-A3E1-15FF9C7603F7}"/>
    <cellStyle name="Input 25 7" xfId="912" xr:uid="{6E0D96BC-8652-4594-9E71-AB6B5B644B00}"/>
    <cellStyle name="Input 25 7 2" xfId="1533" xr:uid="{EE1DE3C5-0376-4FF8-B7E9-64563F67A703}"/>
    <cellStyle name="Input 25 7 3" xfId="1924" xr:uid="{0A4BEB02-6C7D-4795-B564-BAF0E32E2F3F}"/>
    <cellStyle name="Input 25 7 4" xfId="2310" xr:uid="{AD8D4667-575A-4999-862E-23A523F96EC3}"/>
    <cellStyle name="Input 25 7 5" xfId="2696" xr:uid="{C455D4DF-5386-456A-8D9F-A495E0E5AAC6}"/>
    <cellStyle name="Input 25 7 6" xfId="3071" xr:uid="{E9936D0F-270D-4906-81D5-550B479EDC39}"/>
    <cellStyle name="Input 25 7 7" xfId="3438" xr:uid="{8CDB9C92-EA99-4CA2-8320-C86D31141DFA}"/>
    <cellStyle name="Input 25 7 8" xfId="3794" xr:uid="{3A4F1578-12A6-4D53-BE8F-9202822A594B}"/>
    <cellStyle name="Input 25 8" xfId="726" xr:uid="{63735296-11CA-48EC-B979-8870A954BAA8}"/>
    <cellStyle name="Input 25 8 2" xfId="1349" xr:uid="{3DC66ACE-BA33-44D6-9C8E-36EC6173E2B4}"/>
    <cellStyle name="Input 25 8 3" xfId="1739" xr:uid="{CD0FC50A-3240-462E-938D-CDA962C089F9}"/>
    <cellStyle name="Input 25 8 4" xfId="2126" xr:uid="{49CC0085-CA08-414D-A7AF-7EE344CEB259}"/>
    <cellStyle name="Input 25 8 5" xfId="2511" xr:uid="{3FB48CA6-F8B1-40AD-873C-C3B4CB3EE81F}"/>
    <cellStyle name="Input 25 8 6" xfId="2887" xr:uid="{A089D3CB-47F5-4E63-8399-CD407BD584FC}"/>
    <cellStyle name="Input 25 8 7" xfId="3254" xr:uid="{C43B5FE1-4A5A-4697-B148-FDF94B22873E}"/>
    <cellStyle name="Input 25 8 8" xfId="3610" xr:uid="{D4BC8092-3206-47BA-825E-5D78F89B5EB6}"/>
    <cellStyle name="Input 25 9" xfId="1164" xr:uid="{7B52BB18-70D8-4541-9748-2F0BF355745B}"/>
    <cellStyle name="Input 26" xfId="488" xr:uid="{4DD950D9-818F-4D82-86BA-20D81A9A26BF}"/>
    <cellStyle name="Input 26 10" xfId="1223" xr:uid="{31831730-E135-4486-AF15-5107476A1FBB}"/>
    <cellStyle name="Input 26 11" xfId="1614" xr:uid="{93747F4C-AD40-49A0-864F-0563191800E7}"/>
    <cellStyle name="Input 26 12" xfId="570" xr:uid="{6EA26A2D-1B16-4269-AF95-4A41BE3E4EBF}"/>
    <cellStyle name="Input 26 13" xfId="1152" xr:uid="{4CFABD23-10C3-4FDC-B4F9-7014D2227497}"/>
    <cellStyle name="Input 26 14" xfId="1157" xr:uid="{96CAC453-A2DC-49D1-B9F9-929276B3895A}"/>
    <cellStyle name="Input 26 15" xfId="978" xr:uid="{8972D594-FCB7-4841-9DAC-DB5FFE6B788A}"/>
    <cellStyle name="Input 26 2" xfId="797" xr:uid="{D6C360C4-EE51-4F16-95D2-7761FBC018FD}"/>
    <cellStyle name="Input 26 2 2" xfId="1420" xr:uid="{B10304AF-E4F9-43B6-B8B4-5F9A0C6A2D2C}"/>
    <cellStyle name="Input 26 2 3" xfId="1810" xr:uid="{4650BB4A-54EF-4A91-9E46-31181699AFB7}"/>
    <cellStyle name="Input 26 2 4" xfId="2197" xr:uid="{AE813AD8-2519-47C8-BD51-88495AFC9CBA}"/>
    <cellStyle name="Input 26 2 5" xfId="2582" xr:uid="{E5CF85C2-B71F-45B5-8B2D-ADB34AD649DB}"/>
    <cellStyle name="Input 26 2 6" xfId="2958" xr:uid="{72931313-03B7-4EBA-BBA2-73C3997D4E1E}"/>
    <cellStyle name="Input 26 2 7" xfId="3325" xr:uid="{A86E2931-17DD-4A05-8EBA-88EC916AA061}"/>
    <cellStyle name="Input 26 2 8" xfId="3681" xr:uid="{B9119FCB-C9AF-4D61-B64D-BBD517CF38FF}"/>
    <cellStyle name="Input 26 3" xfId="623" xr:uid="{9A0CC62C-25C2-49E3-9C5C-CEB1F0A66098}"/>
    <cellStyle name="Input 26 3 2" xfId="1247" xr:uid="{3F093E46-36C7-4C4F-B933-4812C5B063B9}"/>
    <cellStyle name="Input 26 3 3" xfId="1638" xr:uid="{E481DFD9-349A-4CBF-ABCD-7045688ED2F1}"/>
    <cellStyle name="Input 26 3 4" xfId="2025" xr:uid="{7A0C2766-9469-4537-8A46-4C5DD6DA2779}"/>
    <cellStyle name="Input 26 3 5" xfId="2410" xr:uid="{DBF30016-D399-4F66-96C9-BE601575658D}"/>
    <cellStyle name="Input 26 3 6" xfId="2787" xr:uid="{2F71B569-BD7B-44CB-9BA4-763D5F6E2E52}"/>
    <cellStyle name="Input 26 3 7" xfId="3153" xr:uid="{B0F5113D-5D9E-4E23-96D7-CE00763F5EE7}"/>
    <cellStyle name="Input 26 3 8" xfId="3510" xr:uid="{00A639C7-2C4B-4291-B7ED-B453FFA1AAA6}"/>
    <cellStyle name="Input 26 4" xfId="832" xr:uid="{D253CCA3-1266-4EC3-8079-98EBE8155016}"/>
    <cellStyle name="Input 26 4 2" xfId="1454" xr:uid="{98D48CD1-84D2-4124-AE27-89662FEEB6CC}"/>
    <cellStyle name="Input 26 4 3" xfId="1844" xr:uid="{1680F530-BE5F-4D88-B9B2-9FE6F52FE2FE}"/>
    <cellStyle name="Input 26 4 4" xfId="2231" xr:uid="{DE1564A9-EE2B-49E2-BF10-FA048B5CE1D5}"/>
    <cellStyle name="Input 26 4 5" xfId="2616" xr:uid="{A2143BA7-3474-4608-9A20-935FABAAB73C}"/>
    <cellStyle name="Input 26 4 6" xfId="2992" xr:uid="{CC89DF13-4D55-49BD-8FCF-D35B9A0FF9BA}"/>
    <cellStyle name="Input 26 4 7" xfId="3359" xr:uid="{F62DE81D-FE0B-4909-9838-EC353B6D4F53}"/>
    <cellStyle name="Input 26 4 8" xfId="3715" xr:uid="{53F9807E-CB65-4437-8111-8B0ADFC50590}"/>
    <cellStyle name="Input 26 5" xfId="688" xr:uid="{3BBD9982-ECD5-4D63-AD39-A9F8829E9389}"/>
    <cellStyle name="Input 26 5 2" xfId="1311" xr:uid="{7F15CD09-840B-436B-87FD-50A5D9416DD0}"/>
    <cellStyle name="Input 26 5 3" xfId="1702" xr:uid="{04875945-EBA3-4467-9E63-E00E2F377A78}"/>
    <cellStyle name="Input 26 5 4" xfId="2088" xr:uid="{54579F95-6B3D-449C-AFD6-25FEE8FDD810}"/>
    <cellStyle name="Input 26 5 5" xfId="2474" xr:uid="{A52D427F-7E5E-466F-B035-042A2DBA61E6}"/>
    <cellStyle name="Input 26 5 6" xfId="2850" xr:uid="{688EDDE2-3EF0-40BD-AF2F-A74082EA1584}"/>
    <cellStyle name="Input 26 5 7" xfId="3217" xr:uid="{3982F0A8-9695-482C-90D5-FE5B9486D6A0}"/>
    <cellStyle name="Input 26 5 8" xfId="3573" xr:uid="{09037685-9628-42D4-8695-DFE849D51B9D}"/>
    <cellStyle name="Input 26 6" xfId="874" xr:uid="{AD93F9E4-30FD-4423-8FE6-A9D9B51390EF}"/>
    <cellStyle name="Input 26 6 2" xfId="1496" xr:uid="{159E04E6-2C91-40F6-A66B-4EF94D1FD272}"/>
    <cellStyle name="Input 26 6 3" xfId="1886" xr:uid="{57B9EA15-802A-41A9-8C02-0B2970BB0DD5}"/>
    <cellStyle name="Input 26 6 4" xfId="2273" xr:uid="{4E353E7F-13FA-4993-BEED-19ED74D75D91}"/>
    <cellStyle name="Input 26 6 5" xfId="2658" xr:uid="{F7AAC464-7B20-47D6-85ED-8DCEC77AFF29}"/>
    <cellStyle name="Input 26 6 6" xfId="3034" xr:uid="{5CC568E7-A624-4CEA-AB6A-FC2A83536580}"/>
    <cellStyle name="Input 26 6 7" xfId="3401" xr:uid="{035ECAAF-1B65-457E-9A77-D1EF2A3FA94B}"/>
    <cellStyle name="Input 26 6 8" xfId="3757" xr:uid="{C49460FB-C4A7-4516-A763-B70F768ACE8E}"/>
    <cellStyle name="Input 26 7" xfId="903" xr:uid="{648EBFC3-D464-489B-AE3E-97B42ADA61E3}"/>
    <cellStyle name="Input 26 7 2" xfId="1524" xr:uid="{640E151F-1EBF-4E37-A215-4DFD341B634F}"/>
    <cellStyle name="Input 26 7 3" xfId="1915" xr:uid="{164985AA-EAD2-4B52-A039-8C04B1120E2C}"/>
    <cellStyle name="Input 26 7 4" xfId="2301" xr:uid="{BDCCC24B-1CC0-4BCE-9C89-E95906C4CFE6}"/>
    <cellStyle name="Input 26 7 5" xfId="2687" xr:uid="{76D55AEF-E9FB-45AB-8D6D-D38221DBAD3E}"/>
    <cellStyle name="Input 26 7 6" xfId="3062" xr:uid="{8AEA7FC1-342A-4FFB-9F98-A9E533E219D0}"/>
    <cellStyle name="Input 26 7 7" xfId="3429" xr:uid="{F7AD8D26-8949-4734-9768-AA55FD896F53}"/>
    <cellStyle name="Input 26 7 8" xfId="3785" xr:uid="{6CEF1AFC-D28C-41FE-9DCC-D843C8CC4382}"/>
    <cellStyle name="Input 26 8" xfId="814" xr:uid="{3627D974-3D1D-4FCC-AB1F-B80B1CCCBCB4}"/>
    <cellStyle name="Input 26 8 2" xfId="1437" xr:uid="{F251EEA0-C01E-45F9-AAE6-4F9B804255BB}"/>
    <cellStyle name="Input 26 8 3" xfId="1827" xr:uid="{1222FCE9-91BD-4C62-8263-AEDACF517C9D}"/>
    <cellStyle name="Input 26 8 4" xfId="2214" xr:uid="{23523A2F-EBFA-4CD4-B7D9-55B2B5A583A0}"/>
    <cellStyle name="Input 26 8 5" xfId="2599" xr:uid="{D72B8C8A-4AFE-4A13-A778-481DEBDE6A22}"/>
    <cellStyle name="Input 26 8 6" xfId="2975" xr:uid="{D3A73F1B-9D11-408F-8270-D5D808427732}"/>
    <cellStyle name="Input 26 8 7" xfId="3342" xr:uid="{4A967209-71FC-4EF2-AFC4-B1798F400282}"/>
    <cellStyle name="Input 26 8 8" xfId="3698" xr:uid="{094610F6-89BF-4340-90A3-148C58BEDA12}"/>
    <cellStyle name="Input 26 9" xfId="1165" xr:uid="{54AA03BE-24CF-43CE-86FA-9DAC2B253DD4}"/>
    <cellStyle name="Input 27" xfId="489" xr:uid="{1FF57721-E2EB-45CC-B107-CC85ED2B43A6}"/>
    <cellStyle name="Input 27 10" xfId="1026" xr:uid="{2F1FB8FA-F961-4A1E-BB63-58CB313844DA}"/>
    <cellStyle name="Input 27 11" xfId="1022" xr:uid="{EC3581E2-F231-4CDB-BA8A-2C9034ECB071}"/>
    <cellStyle name="Input 27 12" xfId="2000" xr:uid="{0FBD7C17-8ACE-4DCE-AB94-C03CF2B56D98}"/>
    <cellStyle name="Input 27 13" xfId="1180" xr:uid="{52DDE8A2-A0B0-4181-BA0F-8576B1969DD3}"/>
    <cellStyle name="Input 27 14" xfId="2768" xr:uid="{3989DF8C-D128-4000-A1C0-2CA621575669}"/>
    <cellStyle name="Input 27 15" xfId="369" xr:uid="{BCEF01BB-6C2D-4B29-9A25-A8E89D31D9F9}"/>
    <cellStyle name="Input 27 2" xfId="798" xr:uid="{1F8246A8-FBD0-4317-BFAE-2F6F27A08096}"/>
    <cellStyle name="Input 27 2 2" xfId="1421" xr:uid="{E94F7614-52B8-4B86-973F-FA421C103586}"/>
    <cellStyle name="Input 27 2 3" xfId="1811" xr:uid="{22F9F53B-D5A1-4392-903A-2CF4B676C961}"/>
    <cellStyle name="Input 27 2 4" xfId="2198" xr:uid="{77D92CE6-D959-4E15-BE9B-3279B35BD928}"/>
    <cellStyle name="Input 27 2 5" xfId="2583" xr:uid="{37A0077C-E7E9-4629-A762-FCD90A9537DE}"/>
    <cellStyle name="Input 27 2 6" xfId="2959" xr:uid="{FFBA9140-D297-4D7E-96EA-6F5F147A874C}"/>
    <cellStyle name="Input 27 2 7" xfId="3326" xr:uid="{AF18519A-C20D-4132-B296-9F10950C5074}"/>
    <cellStyle name="Input 27 2 8" xfId="3682" xr:uid="{8FC70914-858B-4596-B236-EA3B62F63758}"/>
    <cellStyle name="Input 27 3" xfId="621" xr:uid="{46607812-AABA-4E77-B5A9-030AC1325208}"/>
    <cellStyle name="Input 27 3 2" xfId="1245" xr:uid="{8FBBBBBF-A5D3-43D9-B613-DB44CE244455}"/>
    <cellStyle name="Input 27 3 3" xfId="1636" xr:uid="{4ED0A7B0-F8F5-4B01-ADE8-64D481CF1E07}"/>
    <cellStyle name="Input 27 3 4" xfId="2023" xr:uid="{0A9C227C-12F1-4F28-993F-B3A1965FF7D5}"/>
    <cellStyle name="Input 27 3 5" xfId="2408" xr:uid="{E71BA030-7143-4109-9071-7888F8A787B7}"/>
    <cellStyle name="Input 27 3 6" xfId="2785" xr:uid="{84F58C86-E028-4C6C-BE5A-780E8475DA2F}"/>
    <cellStyle name="Input 27 3 7" xfId="3151" xr:uid="{EAF47761-D749-4B32-AAF6-704E862A8A1E}"/>
    <cellStyle name="Input 27 3 8" xfId="3508" xr:uid="{9C2881B3-52CD-4A09-995B-6D08D458DA8F}"/>
    <cellStyle name="Input 27 4" xfId="338" xr:uid="{558D814C-214C-4526-868C-1CC643AA83DC}"/>
    <cellStyle name="Input 27 4 2" xfId="1058" xr:uid="{E918113C-E70D-4EC1-9B4A-D1624DDDC7B6}"/>
    <cellStyle name="Input 27 4 3" xfId="1044" xr:uid="{0907DCB2-3905-4499-AB57-9153006AD43E}"/>
    <cellStyle name="Input 27 4 4" xfId="992" xr:uid="{344BA5A9-2E07-46B8-9B92-736F09B1FC9B}"/>
    <cellStyle name="Input 27 4 5" xfId="2010" xr:uid="{29CAA012-3B5D-4C1F-8E68-210084CB3CE0}"/>
    <cellStyle name="Input 27 4 6" xfId="1204" xr:uid="{E3D15C81-8BBD-438B-A5E9-8E909F7AEF5B}"/>
    <cellStyle name="Input 27 4 7" xfId="2775" xr:uid="{54865257-1EA8-4ECE-9870-AFC57F99493B}"/>
    <cellStyle name="Input 27 4 8" xfId="1104" xr:uid="{CFC6EE8F-F539-4E43-BF09-673A9A1D638C}"/>
    <cellStyle name="Input 27 5" xfId="687" xr:uid="{C3FA8924-2C04-4954-9612-91F0F402A243}"/>
    <cellStyle name="Input 27 5 2" xfId="1310" xr:uid="{A36C20CC-6D98-4D19-964C-E7E0E08071B0}"/>
    <cellStyle name="Input 27 5 3" xfId="1701" xr:uid="{C0E6DF59-29FB-4B55-8C8A-43EF1BA45E6B}"/>
    <cellStyle name="Input 27 5 4" xfId="2087" xr:uid="{A2481C42-9A68-4187-94D3-3435D535E90F}"/>
    <cellStyle name="Input 27 5 5" xfId="2473" xr:uid="{4C4F9ED0-7FC4-4044-8549-069B01445CC9}"/>
    <cellStyle name="Input 27 5 6" xfId="2849" xr:uid="{218C3B21-5FAB-4898-8058-7E85D5160F34}"/>
    <cellStyle name="Input 27 5 7" xfId="3216" xr:uid="{F68BE5B1-F964-421D-96E6-F686C0CEBFAF}"/>
    <cellStyle name="Input 27 5 8" xfId="3572" xr:uid="{72586542-3E9F-4257-A43C-8FF4F58E71D1}"/>
    <cellStyle name="Input 27 6" xfId="752" xr:uid="{0547D9FE-2EBB-437D-900B-8EA88609632D}"/>
    <cellStyle name="Input 27 6 2" xfId="1375" xr:uid="{61A12A62-058C-4BD2-B8D8-4E1FDEDE3409}"/>
    <cellStyle name="Input 27 6 3" xfId="1765" xr:uid="{61A69829-41FE-485B-98D8-8B613B01FEA9}"/>
    <cellStyle name="Input 27 6 4" xfId="2152" xr:uid="{04361DFD-7E5A-4CBB-9BB7-F2A536F31F12}"/>
    <cellStyle name="Input 27 6 5" xfId="2537" xr:uid="{F3B40668-32FC-46CD-BA19-D9E08F9CBDB8}"/>
    <cellStyle name="Input 27 6 6" xfId="2913" xr:uid="{464CD89D-516D-4209-8F49-131552830A70}"/>
    <cellStyle name="Input 27 6 7" xfId="3280" xr:uid="{A1DEBCBA-1A45-4C33-8FF5-5E8469C48E56}"/>
    <cellStyle name="Input 27 6 8" xfId="3636" xr:uid="{701207FC-DEB2-442C-AAB9-798BF3DBA3F9}"/>
    <cellStyle name="Input 27 7" xfId="697" xr:uid="{591C73F2-8274-4E51-8B9E-72F688AFACF4}"/>
    <cellStyle name="Input 27 7 2" xfId="1320" xr:uid="{F195E13D-23FB-4319-A0DC-B2369E10CF7F}"/>
    <cellStyle name="Input 27 7 3" xfId="1711" xr:uid="{3B4E9B0B-396A-457B-B9AA-A620038426C8}"/>
    <cellStyle name="Input 27 7 4" xfId="2097" xr:uid="{04FEC671-54A2-4CBF-9FC2-6EA21D9C2EDE}"/>
    <cellStyle name="Input 27 7 5" xfId="2483" xr:uid="{A27200B7-236F-4837-8A77-7B5FE024E147}"/>
    <cellStyle name="Input 27 7 6" xfId="2859" xr:uid="{35E06511-CCAE-4179-AB19-2FF8C8A1A213}"/>
    <cellStyle name="Input 27 7 7" xfId="3226" xr:uid="{659E5882-5F05-412B-B16E-F816BC4DE3A3}"/>
    <cellStyle name="Input 27 7 8" xfId="3582" xr:uid="{D5327002-134C-441A-8DEA-DDC8A066BF1C}"/>
    <cellStyle name="Input 27 8" xfId="921" xr:uid="{E4D2459C-0261-40E6-99CB-13D4698886F0}"/>
    <cellStyle name="Input 27 8 2" xfId="1542" xr:uid="{66F43781-63A2-4088-BE88-F12EC4846315}"/>
    <cellStyle name="Input 27 8 3" xfId="1933" xr:uid="{C73ED126-A417-4E20-A973-AC8109A7A057}"/>
    <cellStyle name="Input 27 8 4" xfId="2319" xr:uid="{12F9E9A6-13EC-4255-BC63-69A97A82E086}"/>
    <cellStyle name="Input 27 8 5" xfId="2705" xr:uid="{78711A4A-9326-49D6-858D-379ADDC9CC55}"/>
    <cellStyle name="Input 27 8 6" xfId="3080" xr:uid="{1DB78B28-7DE9-4EDA-B7C9-EA3C1E2B5692}"/>
    <cellStyle name="Input 27 8 7" xfId="3447" xr:uid="{1D05B70A-94E8-4E17-ADAF-D8F43CBE5642}"/>
    <cellStyle name="Input 27 8 8" xfId="3802" xr:uid="{B9CC44C3-EAC1-45F7-8BF3-7BFB28017F96}"/>
    <cellStyle name="Input 27 9" xfId="1166" xr:uid="{B4C0BC5B-AFA2-4728-BA25-CAEF50ABE7DD}"/>
    <cellStyle name="Input 28" xfId="490" xr:uid="{18476C7C-8CCC-4076-BE24-644937B4CAAA}"/>
    <cellStyle name="Input 28 10" xfId="1101" xr:uid="{69C22154-4C3D-4CFD-AAD6-7A37A9301F48}"/>
    <cellStyle name="Input 28 11" xfId="149" xr:uid="{987308B4-29B9-44B0-A39D-88226145327F}"/>
    <cellStyle name="Input 28 12" xfId="1625" xr:uid="{E6C3B7EB-935D-4AF1-B2D6-9689E69A2FFC}"/>
    <cellStyle name="Input 28 13" xfId="1990" xr:uid="{C1FAC120-674F-4F18-A519-880C522017D1}"/>
    <cellStyle name="Input 28 14" xfId="2400" xr:uid="{0F2EC404-F150-4D8B-A114-A11D79DB9BBE}"/>
    <cellStyle name="Input 28 15" xfId="2759" xr:uid="{8A232D40-E02E-49F6-B820-DFC1966C3EBA}"/>
    <cellStyle name="Input 28 2" xfId="799" xr:uid="{1D8CAA6D-54C7-46DF-9959-6A01F7253A40}"/>
    <cellStyle name="Input 28 2 2" xfId="1422" xr:uid="{13B62D83-5401-4964-B513-F4E929A070EC}"/>
    <cellStyle name="Input 28 2 3" xfId="1812" xr:uid="{BF151248-EC3B-4177-B229-B309AAAEE03B}"/>
    <cellStyle name="Input 28 2 4" xfId="2199" xr:uid="{F4ADA809-829F-4B3E-99A0-47BB99826A75}"/>
    <cellStyle name="Input 28 2 5" xfId="2584" xr:uid="{BC740FC5-9853-4469-941A-533B70284A38}"/>
    <cellStyle name="Input 28 2 6" xfId="2960" xr:uid="{4A92CB41-176B-4D27-8EEE-7F26013E1FBD}"/>
    <cellStyle name="Input 28 2 7" xfId="3327" xr:uid="{E923A4E4-C8C9-4ABF-9269-3255DD888F2A}"/>
    <cellStyle name="Input 28 2 8" xfId="3683" xr:uid="{3B1F240A-D7BA-4878-B015-A6570F401499}"/>
    <cellStyle name="Input 28 3" xfId="618" xr:uid="{1F942E9D-57F0-4C71-8903-3C9CBF817A1B}"/>
    <cellStyle name="Input 28 3 2" xfId="1242" xr:uid="{6B5BC798-1520-41DB-AAC8-A04727EDAC82}"/>
    <cellStyle name="Input 28 3 3" xfId="1633" xr:uid="{A70BCD51-4C06-4856-A872-F01B38296259}"/>
    <cellStyle name="Input 28 3 4" xfId="2020" xr:uid="{AF9792A8-6F9B-481A-B269-06F1D8115FAE}"/>
    <cellStyle name="Input 28 3 5" xfId="2405" xr:uid="{C9D76F69-6A53-4632-88A4-42958A26613F}"/>
    <cellStyle name="Input 28 3 6" xfId="2782" xr:uid="{6108481C-734D-4577-BAF1-C7BF18AF3A16}"/>
    <cellStyle name="Input 28 3 7" xfId="3148" xr:uid="{F42ADB66-C645-4F45-959B-9EA81092B38C}"/>
    <cellStyle name="Input 28 3 8" xfId="3505" xr:uid="{C7E7B35F-5B13-41EC-ACD5-492B0FD70C59}"/>
    <cellStyle name="Input 28 4" xfId="813" xr:uid="{EF63A8A1-5716-4740-9415-893844C91E19}"/>
    <cellStyle name="Input 28 4 2" xfId="1436" xr:uid="{C4EA90C1-6258-43F0-892B-30DB228A5EA3}"/>
    <cellStyle name="Input 28 4 3" xfId="1826" xr:uid="{9749DA26-439B-4CED-9A8A-BE79372A4B75}"/>
    <cellStyle name="Input 28 4 4" xfId="2213" xr:uid="{E9E96DD9-E39C-4172-92F1-B1739A5A6DF5}"/>
    <cellStyle name="Input 28 4 5" xfId="2598" xr:uid="{D5696241-663E-4466-8BD1-AE4B966C957E}"/>
    <cellStyle name="Input 28 4 6" xfId="2974" xr:uid="{67DEFBAA-2CC5-4D9C-8369-9ED261E6927D}"/>
    <cellStyle name="Input 28 4 7" xfId="3341" xr:uid="{9F638C09-3751-445C-8829-EB67446C997B}"/>
    <cellStyle name="Input 28 4 8" xfId="3697" xr:uid="{175A7805-B0C5-484A-97F4-0535118C0131}"/>
    <cellStyle name="Input 28 5" xfId="685" xr:uid="{A2F44F43-07E5-45C7-9FBA-FBFD12A8D17C}"/>
    <cellStyle name="Input 28 5 2" xfId="1308" xr:uid="{A6914AB1-03AA-4ABD-83A6-B36957F1B4BD}"/>
    <cellStyle name="Input 28 5 3" xfId="1699" xr:uid="{3FE0DC7E-7576-485A-9560-72B87664C382}"/>
    <cellStyle name="Input 28 5 4" xfId="2085" xr:uid="{8A0B81C7-19DA-4A1A-8D77-DB1F647C045B}"/>
    <cellStyle name="Input 28 5 5" xfId="2471" xr:uid="{574A1D0F-2D99-4FB1-98F1-738B058B61C6}"/>
    <cellStyle name="Input 28 5 6" xfId="2847" xr:uid="{18D2F407-F643-48C5-98A3-437E68FFDA41}"/>
    <cellStyle name="Input 28 5 7" xfId="3214" xr:uid="{22434CFB-8B14-426C-8CBA-A9ACFEB68CF0}"/>
    <cellStyle name="Input 28 5 8" xfId="3570" xr:uid="{4748BDAC-C039-4293-94B4-236448E1F48B}"/>
    <cellStyle name="Input 28 6" xfId="636" xr:uid="{24D649C1-49A3-4C21-98C2-946363AD7D41}"/>
    <cellStyle name="Input 28 6 2" xfId="1260" xr:uid="{516F34DC-A9E8-4BBE-8BF7-B0A8ED837FB7}"/>
    <cellStyle name="Input 28 6 3" xfId="1651" xr:uid="{2AB27A48-7200-4867-95FC-B1746C4C1DCB}"/>
    <cellStyle name="Input 28 6 4" xfId="2038" xr:uid="{649B1209-4860-4409-AF90-AB3A48333240}"/>
    <cellStyle name="Input 28 6 5" xfId="2423" xr:uid="{2CB48E53-061C-4119-81FC-29F7171A0ABA}"/>
    <cellStyle name="Input 28 6 6" xfId="2800" xr:uid="{D5FC4FD8-9A9F-408E-91D6-3C0C210099C7}"/>
    <cellStyle name="Input 28 6 7" xfId="3166" xr:uid="{553F65A6-1821-4724-90D3-00682541EA95}"/>
    <cellStyle name="Input 28 6 8" xfId="3523" xr:uid="{A5763E4B-D015-4C73-AC80-7836FBBBC2E7}"/>
    <cellStyle name="Input 28 7" xfId="629" xr:uid="{BFB785E6-7097-4CD7-AE04-3D6B44C8FDE9}"/>
    <cellStyle name="Input 28 7 2" xfId="1253" xr:uid="{344E389C-65A1-41FD-AB2F-9BB25E178F76}"/>
    <cellStyle name="Input 28 7 3" xfId="1644" xr:uid="{5B09FCEB-0949-4850-8197-F0967E014798}"/>
    <cellStyle name="Input 28 7 4" xfId="2031" xr:uid="{1D374E3E-B09A-4E8A-9194-F0C263AEDB86}"/>
    <cellStyle name="Input 28 7 5" xfId="2416" xr:uid="{ADF48D67-A14F-4A50-8AA1-E71DF99790EC}"/>
    <cellStyle name="Input 28 7 6" xfId="2793" xr:uid="{FE787385-FE61-46C5-B70C-0F7C4D8BD0CA}"/>
    <cellStyle name="Input 28 7 7" xfId="3159" xr:uid="{1558744E-0897-47BB-8E4A-2791A7D2FE09}"/>
    <cellStyle name="Input 28 7 8" xfId="3516" xr:uid="{3BC23AF4-3B5B-4AE2-B02D-D702DC6C0B18}"/>
    <cellStyle name="Input 28 8" xfId="670" xr:uid="{3AB9D02A-7135-473C-8577-F946ED44A5FB}"/>
    <cellStyle name="Input 28 8 2" xfId="1294" xr:uid="{FEC9A684-B22C-451F-9844-7A9EDFE94953}"/>
    <cellStyle name="Input 28 8 3" xfId="1685" xr:uid="{BD9D2986-FA57-4F59-AF0D-9375B1C4FDFC}"/>
    <cellStyle name="Input 28 8 4" xfId="2071" xr:uid="{AAEC6949-BC42-42A5-B69F-A8DD74D5FC52}"/>
    <cellStyle name="Input 28 8 5" xfId="2457" xr:uid="{2D3F7CF7-22A2-409F-9057-0A2E07DD9BF0}"/>
    <cellStyle name="Input 28 8 6" xfId="2833" xr:uid="{A5F5F4D8-E173-4DBF-AD2B-08CB0BA8B1E1}"/>
    <cellStyle name="Input 28 8 7" xfId="3200" xr:uid="{7DBB8479-3C89-4956-9F71-97F9D140BC9C}"/>
    <cellStyle name="Input 28 8 8" xfId="3556" xr:uid="{48738F84-7C4C-4702-B8F8-A8F5AF08851E}"/>
    <cellStyle name="Input 28 9" xfId="1167" xr:uid="{9B48E61E-2B79-4FDC-9D02-BE9DE10CD1A0}"/>
    <cellStyle name="Input 29" xfId="491" xr:uid="{EAE942D6-9768-41A5-9AAE-6577D04AD670}"/>
    <cellStyle name="Input 29 10" xfId="436" xr:uid="{A2604FD2-621B-4E4B-88BE-EA01CCF2E48F}"/>
    <cellStyle name="Input 29 11" xfId="1076" xr:uid="{5D4C60F9-340F-46A3-9D84-3F93A4E52F4B}"/>
    <cellStyle name="Input 29 12" xfId="1073" xr:uid="{6CB14E25-376C-4955-A066-42F341C06F9A}"/>
    <cellStyle name="Input 29 13" xfId="2387" xr:uid="{BB77A697-3073-47FE-8E3D-459D7AC1AADC}"/>
    <cellStyle name="Input 29 14" xfId="2017" xr:uid="{394F6273-9E7B-4808-A819-94198FA751CE}"/>
    <cellStyle name="Input 29 15" xfId="3138" xr:uid="{0FB35FCE-DD74-4CF5-9B6E-0EC1720A9517}"/>
    <cellStyle name="Input 29 2" xfId="800" xr:uid="{D257E15F-3F37-4F33-A5ED-12B51845D21B}"/>
    <cellStyle name="Input 29 2 2" xfId="1423" xr:uid="{EFBA0FAA-24D4-4BEE-B708-DB58E310024F}"/>
    <cellStyle name="Input 29 2 3" xfId="1813" xr:uid="{A02FF44C-2930-47AC-BB99-64A7ABD93DEE}"/>
    <cellStyle name="Input 29 2 4" xfId="2200" xr:uid="{EF6AEC2E-4200-4C83-AA99-58F922C04EF7}"/>
    <cellStyle name="Input 29 2 5" xfId="2585" xr:uid="{8A8864FC-CFB7-46C6-8E23-F1B88A056D55}"/>
    <cellStyle name="Input 29 2 6" xfId="2961" xr:uid="{75F72AF4-1B60-4868-9835-92FD1F8C7539}"/>
    <cellStyle name="Input 29 2 7" xfId="3328" xr:uid="{8A6D378A-B0EB-4024-8D14-D07AFA0A6022}"/>
    <cellStyle name="Input 29 2 8" xfId="3684" xr:uid="{A62E6057-F4F6-456E-99D6-C95F357003FD}"/>
    <cellStyle name="Input 29 3" xfId="617" xr:uid="{FF223D60-4628-406A-A2E6-21FE5B752948}"/>
    <cellStyle name="Input 29 3 2" xfId="1241" xr:uid="{FD94CE02-F504-4D4B-93E2-B7213414B541}"/>
    <cellStyle name="Input 29 3 3" xfId="1632" xr:uid="{CF678178-B010-4D56-9C54-4739E2EEDA04}"/>
    <cellStyle name="Input 29 3 4" xfId="2019" xr:uid="{B6517690-3D3A-4BEB-ABC0-24FDC78A622C}"/>
    <cellStyle name="Input 29 3 5" xfId="2404" xr:uid="{1AF56D2E-5B34-4369-8C6E-9539D33A89AF}"/>
    <cellStyle name="Input 29 3 6" xfId="2781" xr:uid="{A46CED27-5C70-408E-BD20-2D49D83DCAA0}"/>
    <cellStyle name="Input 29 3 7" xfId="3147" xr:uid="{E2713150-B8E7-4754-BF8D-F822CCD3CF3D}"/>
    <cellStyle name="Input 29 3 8" xfId="3504" xr:uid="{CE0E07F6-17C4-4D3E-AE3B-FEB22E0A7F50}"/>
    <cellStyle name="Input 29 4" xfId="835" xr:uid="{3448E6FA-FB67-4CBE-BDDF-9E03662448B7}"/>
    <cellStyle name="Input 29 4 2" xfId="1457" xr:uid="{494CD1D9-E8F8-4F7A-B11E-3498A4E23EFC}"/>
    <cellStyle name="Input 29 4 3" xfId="1847" xr:uid="{FF2F59B0-056B-475F-97FA-F24758CAE9EC}"/>
    <cellStyle name="Input 29 4 4" xfId="2234" xr:uid="{C4846F68-1F77-480B-BC07-3481FEEF7442}"/>
    <cellStyle name="Input 29 4 5" xfId="2619" xr:uid="{BCEA70FB-CAFC-4DF9-83E4-4F92DE2A07D9}"/>
    <cellStyle name="Input 29 4 6" xfId="2995" xr:uid="{B0D2F0CC-CDA8-4F61-AC96-775F8FCB2324}"/>
    <cellStyle name="Input 29 4 7" xfId="3362" xr:uid="{A8880DE1-D503-4D8B-ACAA-C285C39588FF}"/>
    <cellStyle name="Input 29 4 8" xfId="3718" xr:uid="{B3424E74-2835-406F-98DA-7838BE6A6649}"/>
    <cellStyle name="Input 29 5" xfId="658" xr:uid="{74E206AD-1883-4BB1-8C89-9E59BAE555DA}"/>
    <cellStyle name="Input 29 5 2" xfId="1282" xr:uid="{6F30D198-5DA7-4438-AC7D-00299A03B0F6}"/>
    <cellStyle name="Input 29 5 3" xfId="1673" xr:uid="{EDF201BA-4B4C-48A8-8769-FEA1833D060E}"/>
    <cellStyle name="Input 29 5 4" xfId="2059" xr:uid="{9962368B-7306-479F-96F8-7EB89EF4AD40}"/>
    <cellStyle name="Input 29 5 5" xfId="2445" xr:uid="{99E98CFD-E437-4B90-A859-22A7B4AEF478}"/>
    <cellStyle name="Input 29 5 6" xfId="2821" xr:uid="{8155D6E9-082E-4F27-A9A6-58F3AB370CA3}"/>
    <cellStyle name="Input 29 5 7" xfId="3188" xr:uid="{AA7D901F-E45F-4F6D-A280-929D1A2B2FC4}"/>
    <cellStyle name="Input 29 5 8" xfId="3544" xr:uid="{524E1ED8-AC8B-46F1-AD85-935D046F71F5}"/>
    <cellStyle name="Input 29 6" xfId="637" xr:uid="{DDBF9049-2BFF-43D3-93C1-6A9BCD68148F}"/>
    <cellStyle name="Input 29 6 2" xfId="1261" xr:uid="{D7BEE029-284E-48DB-B634-5D2180134B86}"/>
    <cellStyle name="Input 29 6 3" xfId="1652" xr:uid="{A8BD17E3-578B-4CD3-B4C6-C0B1902BE292}"/>
    <cellStyle name="Input 29 6 4" xfId="2039" xr:uid="{D83CC20D-D77F-4659-84B2-22883D9BBC87}"/>
    <cellStyle name="Input 29 6 5" xfId="2424" xr:uid="{D80C5741-9143-4E57-9FBD-20FAEB8BE1E2}"/>
    <cellStyle name="Input 29 6 6" xfId="2801" xr:uid="{901537F3-5E07-4AE2-B179-36408F02606F}"/>
    <cellStyle name="Input 29 6 7" xfId="3167" xr:uid="{D14032C8-3C31-4B3D-8118-878D7DD82827}"/>
    <cellStyle name="Input 29 6 8" xfId="3524" xr:uid="{3F4DAD9D-D463-4835-9727-642993ABF606}"/>
    <cellStyle name="Input 29 7" xfId="825" xr:uid="{8E43E9EF-CD39-47C6-99B0-F67B85E7812C}"/>
    <cellStyle name="Input 29 7 2" xfId="1447" xr:uid="{0137CA48-CA14-40ED-AF59-1EBB274B493F}"/>
    <cellStyle name="Input 29 7 3" xfId="1837" xr:uid="{39B7A000-67C9-4E15-AE41-AE8DC174EBEA}"/>
    <cellStyle name="Input 29 7 4" xfId="2224" xr:uid="{02F6A0E9-7782-4FA8-98A0-5BA8366C6C8D}"/>
    <cellStyle name="Input 29 7 5" xfId="2609" xr:uid="{76E9613A-E38E-47E1-9F1B-FEAD42824FCF}"/>
    <cellStyle name="Input 29 7 6" xfId="2985" xr:uid="{FC8C362A-45C4-49A0-90F8-486BFA09E6A3}"/>
    <cellStyle name="Input 29 7 7" xfId="3352" xr:uid="{879A874C-C22E-4F03-88CB-E4BC8A6F675F}"/>
    <cellStyle name="Input 29 7 8" xfId="3708" xr:uid="{EB7C43A9-A86A-4DBC-AED5-9A42D4B244C9}"/>
    <cellStyle name="Input 29 8" xfId="926" xr:uid="{180F6422-6114-4974-AF32-46379F211C39}"/>
    <cellStyle name="Input 29 8 2" xfId="1547" xr:uid="{F12B6B2B-1FD8-4FA8-BE70-69B788F02804}"/>
    <cellStyle name="Input 29 8 3" xfId="1938" xr:uid="{2A06C0E3-7296-4787-A277-5B40472517D5}"/>
    <cellStyle name="Input 29 8 4" xfId="2324" xr:uid="{68A11473-EFA5-49AC-B160-5CAF316B72AF}"/>
    <cellStyle name="Input 29 8 5" xfId="2710" xr:uid="{598BD168-20BB-422E-ABC9-7CAA23C0B39B}"/>
    <cellStyle name="Input 29 8 6" xfId="3085" xr:uid="{07F9D912-EF93-453C-A4E5-2BB78893EA11}"/>
    <cellStyle name="Input 29 8 7" xfId="3452" xr:uid="{05269750-CAF7-440A-9BDB-9B8060549738}"/>
    <cellStyle name="Input 29 8 8" xfId="3807" xr:uid="{DA15C660-E302-4D86-8B04-6439D4DEC952}"/>
    <cellStyle name="Input 29 9" xfId="1168" xr:uid="{66802B48-D35A-41D4-892F-D9D62E659EFF}"/>
    <cellStyle name="Input 3" xfId="196" xr:uid="{32F3828F-E589-4E9F-A740-6A691E94B96A}"/>
    <cellStyle name="Input 3 2" xfId="247" xr:uid="{823D9A72-6283-4D2E-9C9B-695FCE58582C}"/>
    <cellStyle name="Input 30" xfId="492" xr:uid="{494A49A2-7E69-4050-B5CF-4D4CC4E407A8}"/>
    <cellStyle name="Input 30 10" xfId="1222" xr:uid="{F58C75B1-CC91-4121-A932-531F613A02A7}"/>
    <cellStyle name="Input 30 11" xfId="1613" xr:uid="{CE059F63-5B33-477F-97CC-1DDDF8BD6C2E}"/>
    <cellStyle name="Input 30 12" xfId="1598" xr:uid="{DF4F86AB-5817-423A-89E1-AE2582E67518}"/>
    <cellStyle name="Input 30 13" xfId="1140" xr:uid="{CD7DDAFB-DCFA-4884-B545-593F9B135C9D}"/>
    <cellStyle name="Input 30 14" xfId="2373" xr:uid="{4DA70546-47A5-4D0C-957D-2ECB524F89C0}"/>
    <cellStyle name="Input 30 15" xfId="1615" xr:uid="{53DC77D8-3420-4045-881E-6A7651653D45}"/>
    <cellStyle name="Input 30 2" xfId="801" xr:uid="{7916F452-0D88-48E9-9248-51DC79B42C47}"/>
    <cellStyle name="Input 30 2 2" xfId="1424" xr:uid="{726BE918-8F50-45CF-8E78-61C6EB549746}"/>
    <cellStyle name="Input 30 2 3" xfId="1814" xr:uid="{BDC4BF3E-31AF-4768-B2D8-7498ACBF7BF3}"/>
    <cellStyle name="Input 30 2 4" xfId="2201" xr:uid="{58E518FC-7FC3-43B0-8958-F70CBAACA386}"/>
    <cellStyle name="Input 30 2 5" xfId="2586" xr:uid="{7C132A1B-4B56-4DF4-9533-5E0449E0D8F5}"/>
    <cellStyle name="Input 30 2 6" xfId="2962" xr:uid="{2FEBE39F-A558-4325-BD72-331EFA7D6E91}"/>
    <cellStyle name="Input 30 2 7" xfId="3329" xr:uid="{E90DD34D-FE3F-4218-A4EB-1F5705815EE6}"/>
    <cellStyle name="Input 30 2 8" xfId="3685" xr:uid="{09C300DE-137B-4587-95FE-C43A68315FBF}"/>
    <cellStyle name="Input 30 3" xfId="332" xr:uid="{A0BD59AD-FCBB-4BE0-AC33-854E9A261F29}"/>
    <cellStyle name="Input 30 3 2" xfId="1052" xr:uid="{482FDD0D-6F92-4968-8748-162BBF396E0A}"/>
    <cellStyle name="Input 30 3 3" xfId="1001" xr:uid="{C9E87557-3B10-4EAF-93F6-8EE0C742371B}"/>
    <cellStyle name="Input 30 3 4" xfId="1207" xr:uid="{2B024DB7-BA11-4D75-B62A-7C672DDE611C}"/>
    <cellStyle name="Input 30 3 5" xfId="1031" xr:uid="{D122F1B9-DAFA-480A-A389-5BF21A78E325}"/>
    <cellStyle name="Input 30 3 6" xfId="1035" xr:uid="{36557DD9-1394-47FA-9D20-3CABED885A02}"/>
    <cellStyle name="Input 30 3 7" xfId="1005" xr:uid="{D449F53B-3ADB-4BA7-A4D6-3946CC2EEF8D}"/>
    <cellStyle name="Input 30 3 8" xfId="2384" xr:uid="{B3BBD00E-3F69-41B6-8DEC-A99A05452F1E}"/>
    <cellStyle name="Input 30 4" xfId="836" xr:uid="{3EFE4704-49EE-460F-924E-AF3BA7FA3650}"/>
    <cellStyle name="Input 30 4 2" xfId="1458" xr:uid="{DE9CBB80-D6D2-42EA-AEE5-0955325CF165}"/>
    <cellStyle name="Input 30 4 3" xfId="1848" xr:uid="{D521FF40-C65D-421A-BB6F-F1290A0C312B}"/>
    <cellStyle name="Input 30 4 4" xfId="2235" xr:uid="{A19BCA6C-E647-4369-BFFC-6224AF898D3A}"/>
    <cellStyle name="Input 30 4 5" xfId="2620" xr:uid="{295688D1-EE03-4B3D-A175-216A6FD7F68C}"/>
    <cellStyle name="Input 30 4 6" xfId="2996" xr:uid="{521C41C9-53B0-493C-92EB-071F80CA807E}"/>
    <cellStyle name="Input 30 4 7" xfId="3363" xr:uid="{D08AADD4-56BB-4884-8EC8-28CD686A7064}"/>
    <cellStyle name="Input 30 4 8" xfId="3719" xr:uid="{609A0EB7-2D86-4FA6-ACFA-2CF45F1A9773}"/>
    <cellStyle name="Input 30 5" xfId="657" xr:uid="{1AE238F4-119B-46FB-B7AC-E0BE9C4A7C81}"/>
    <cellStyle name="Input 30 5 2" xfId="1281" xr:uid="{D5AFD6B9-DE5F-4E5A-AB9F-4376F31CFDA0}"/>
    <cellStyle name="Input 30 5 3" xfId="1672" xr:uid="{542F9641-AD4E-49D0-BFC0-458D36D4F3CD}"/>
    <cellStyle name="Input 30 5 4" xfId="2058" xr:uid="{3D5E7521-011C-41EF-9E8D-89D28DC5EA30}"/>
    <cellStyle name="Input 30 5 5" xfId="2444" xr:uid="{88158405-51D8-4851-A141-B45E294BCD49}"/>
    <cellStyle name="Input 30 5 6" xfId="2820" xr:uid="{2F79184B-B072-4AFF-8BB1-80F883E17B88}"/>
    <cellStyle name="Input 30 5 7" xfId="3187" xr:uid="{A5DD8A22-16CB-42AE-AE21-30CD8611642C}"/>
    <cellStyle name="Input 30 5 8" xfId="3543" xr:uid="{9774A179-25FD-45C2-B72D-808B31CAEA21}"/>
    <cellStyle name="Input 30 6" xfId="648" xr:uid="{8FE0F6F3-DF4F-42CF-94D7-9113008E706E}"/>
    <cellStyle name="Input 30 6 2" xfId="1272" xr:uid="{3971E694-3FA2-4FCC-BFDA-D91035CB0A58}"/>
    <cellStyle name="Input 30 6 3" xfId="1663" xr:uid="{0C32C91E-1499-42F5-B5C9-C55B1ED03670}"/>
    <cellStyle name="Input 30 6 4" xfId="2049" xr:uid="{F83CD531-E760-496C-B234-81AC2EC4A853}"/>
    <cellStyle name="Input 30 6 5" xfId="2435" xr:uid="{F75C24ED-4F0C-4002-82F0-EF8B858F69E1}"/>
    <cellStyle name="Input 30 6 6" xfId="2811" xr:uid="{0B73C69E-67C2-4657-95A5-F193DA811DBB}"/>
    <cellStyle name="Input 30 6 7" xfId="3178" xr:uid="{D0606560-7D05-4952-AED3-FF0F19770641}"/>
    <cellStyle name="Input 30 6 8" xfId="3534" xr:uid="{E991D948-AF22-47BE-A75B-F5824C7F225B}"/>
    <cellStyle name="Input 30 7" xfId="823" xr:uid="{1BF496FB-DE87-4729-B853-64951C491DF7}"/>
    <cellStyle name="Input 30 7 2" xfId="1445" xr:uid="{AD4D373C-A560-4F8A-A218-00DD8331C85D}"/>
    <cellStyle name="Input 30 7 3" xfId="1835" xr:uid="{50515054-7766-43BE-88AB-E82329333B13}"/>
    <cellStyle name="Input 30 7 4" xfId="2222" xr:uid="{24BD7404-F5AA-46EA-AC79-AD82F14E29FD}"/>
    <cellStyle name="Input 30 7 5" xfId="2607" xr:uid="{B2081D09-EE1C-4710-A381-C58BF47DCC89}"/>
    <cellStyle name="Input 30 7 6" xfId="2983" xr:uid="{0BA51B1A-F026-47D3-B55C-B5F30C067712}"/>
    <cellStyle name="Input 30 7 7" xfId="3350" xr:uid="{BAF89A06-A7F6-4DF7-BC5B-BA2B191776AB}"/>
    <cellStyle name="Input 30 7 8" xfId="3706" xr:uid="{EEAE2442-F0AF-4419-9C83-B443F5509F87}"/>
    <cellStyle name="Input 30 8" xfId="742" xr:uid="{8CE5B24F-BC79-4475-9D13-2CCA31A8347E}"/>
    <cellStyle name="Input 30 8 2" xfId="1365" xr:uid="{3A5225D4-C484-4B2F-A54B-9B152803C075}"/>
    <cellStyle name="Input 30 8 3" xfId="1755" xr:uid="{81374105-6C92-4602-9CCC-DB1E08B0179B}"/>
    <cellStyle name="Input 30 8 4" xfId="2142" xr:uid="{16334E1B-B931-4695-98EF-99B485FFEE5F}"/>
    <cellStyle name="Input 30 8 5" xfId="2527" xr:uid="{A328D6B7-FE65-4CF1-87E0-18D519EE6153}"/>
    <cellStyle name="Input 30 8 6" xfId="2903" xr:uid="{F7FEEA37-7BA6-4C24-A912-B1E6F72E9F33}"/>
    <cellStyle name="Input 30 8 7" xfId="3270" xr:uid="{21794FC8-D68B-46A1-AE4F-FECA59BD1961}"/>
    <cellStyle name="Input 30 8 8" xfId="3626" xr:uid="{55D8D56E-664E-4EBE-B3C5-E6A7C1728FEA}"/>
    <cellStyle name="Input 30 9" xfId="1169" xr:uid="{9838BB85-4ACF-4E39-AC92-1D6EAE051A76}"/>
    <cellStyle name="Input 31" xfId="493" xr:uid="{1C549E77-ABA4-4F76-ADBF-09AB83D6C06D}"/>
    <cellStyle name="Input 31 10" xfId="1025" xr:uid="{4CFCD745-44B3-4B10-9EFD-9F09E0AB3B14}"/>
    <cellStyle name="Input 31 11" xfId="1023" xr:uid="{47FCBB42-EABB-431B-B6A7-5B417C3FB1E3}"/>
    <cellStyle name="Input 31 12" xfId="1999" xr:uid="{EE7FBB37-34EE-4326-B40D-D39CABA1E805}"/>
    <cellStyle name="Input 31 13" xfId="1219" xr:uid="{8FE1C8F8-EDDC-45FF-ABDF-17A18D64895C}"/>
    <cellStyle name="Input 31 14" xfId="2767" xr:uid="{A5363080-55B9-4E23-84F9-16178A984C1B}"/>
    <cellStyle name="Input 31 15" xfId="1002" xr:uid="{3BA5CCB8-0894-4D49-AC29-C14AA17EABC1}"/>
    <cellStyle name="Input 31 2" xfId="802" xr:uid="{E0C03998-C203-4642-9721-410941A6E749}"/>
    <cellStyle name="Input 31 2 2" xfId="1425" xr:uid="{93CE9361-B2D3-4BC0-90AD-239479EE8D2F}"/>
    <cellStyle name="Input 31 2 3" xfId="1815" xr:uid="{EDDEAF3B-AB5A-45A1-B1F0-A42839BD298E}"/>
    <cellStyle name="Input 31 2 4" xfId="2202" xr:uid="{7055E821-E19C-4737-8A9B-519BF9FA3D3E}"/>
    <cellStyle name="Input 31 2 5" xfId="2587" xr:uid="{D5FBE22B-246B-4588-8F4E-087918E1C38E}"/>
    <cellStyle name="Input 31 2 6" xfId="2963" xr:uid="{FAC2F386-9E15-4652-BA77-7E963D55063E}"/>
    <cellStyle name="Input 31 2 7" xfId="3330" xr:uid="{E0221EC2-4BFE-4A5D-A5A5-6FA2033EFE13}"/>
    <cellStyle name="Input 31 2 8" xfId="3686" xr:uid="{8C9382F0-5F72-4FF3-A27B-A8739C89A3B7}"/>
    <cellStyle name="Input 31 3" xfId="333" xr:uid="{E544D2C0-6FB7-46FC-A6AD-DECC59D68DCD}"/>
    <cellStyle name="Input 31 3 2" xfId="1053" xr:uid="{78A64E52-0260-43C9-A610-BFB244E4BBBB}"/>
    <cellStyle name="Input 31 3 3" xfId="975" xr:uid="{A937892B-AA2A-4D5E-84B3-FEB4D7B161FF}"/>
    <cellStyle name="Input 31 3 4" xfId="1177" xr:uid="{EBE9B304-F95B-427A-9981-5D131CE23E7F}"/>
    <cellStyle name="Input 31 3 5" xfId="1599" xr:uid="{FEAF5588-DD93-4FA4-983B-81FE11B5EBA4}"/>
    <cellStyle name="Input 31 3 6" xfId="1193" xr:uid="{7B07F68F-7955-46E7-967F-9265B855986C}"/>
    <cellStyle name="Input 31 3 7" xfId="2003" xr:uid="{F810F3B0-0B9F-4D7B-BB4E-219797D853F2}"/>
    <cellStyle name="Input 31 3 8" xfId="2385" xr:uid="{88B3E368-5366-4A4B-B571-F4BDD428E78E}"/>
    <cellStyle name="Input 31 4" xfId="838" xr:uid="{EE1C9A56-B272-47E9-B9C6-B752D5B41F0D}"/>
    <cellStyle name="Input 31 4 2" xfId="1460" xr:uid="{D26AA5F8-CF96-49B7-AE41-6BB4975792FC}"/>
    <cellStyle name="Input 31 4 3" xfId="1850" xr:uid="{3C3C527F-BB2B-48FF-A071-09768E673FE4}"/>
    <cellStyle name="Input 31 4 4" xfId="2237" xr:uid="{40839F28-557C-4B79-9148-1DF454013AEE}"/>
    <cellStyle name="Input 31 4 5" xfId="2622" xr:uid="{67FD9838-54E9-4A30-8223-4AA95AED6AEF}"/>
    <cellStyle name="Input 31 4 6" xfId="2998" xr:uid="{E2D15AD2-F83F-4089-8C44-2DCDA79414AE}"/>
    <cellStyle name="Input 31 4 7" xfId="3365" xr:uid="{C3EF08D9-A56B-4CA5-B8B0-E3D28826690B}"/>
    <cellStyle name="Input 31 4 8" xfId="3721" xr:uid="{81F129CD-72CE-4D9C-B8AE-A07553534467}"/>
    <cellStyle name="Input 31 5" xfId="654" xr:uid="{5F3E53FC-9A29-48B4-915D-C014F8FEF218}"/>
    <cellStyle name="Input 31 5 2" xfId="1278" xr:uid="{E354C8E9-ADA5-47DA-A0B5-A4B0FF153EBA}"/>
    <cellStyle name="Input 31 5 3" xfId="1669" xr:uid="{B5D70C84-2905-4F52-97D4-7E89E35B7A87}"/>
    <cellStyle name="Input 31 5 4" xfId="2055" xr:uid="{24858C47-4AE9-4C61-8281-38472FE6FA65}"/>
    <cellStyle name="Input 31 5 5" xfId="2441" xr:uid="{287F1227-C511-4053-8505-E5AF8C504BF1}"/>
    <cellStyle name="Input 31 5 6" xfId="2817" xr:uid="{9C0023BE-C3A1-46D7-8E1B-4EE6BEDB064C}"/>
    <cellStyle name="Input 31 5 7" xfId="3184" xr:uid="{FD924AFB-7859-43A6-9220-DAD085B1D98A}"/>
    <cellStyle name="Input 31 5 8" xfId="3540" xr:uid="{43CB412F-68BC-44D5-A46F-D97A9FEF756E}"/>
    <cellStyle name="Input 31 6" xfId="806" xr:uid="{AAD4E4A3-2BA1-4A49-91E8-B84C38216591}"/>
    <cellStyle name="Input 31 6 2" xfId="1429" xr:uid="{F06D3521-3816-4E7F-A77F-2135727142B0}"/>
    <cellStyle name="Input 31 6 3" xfId="1819" xr:uid="{1894FA3B-FD53-42A4-9A3E-160E1E2C9DB2}"/>
    <cellStyle name="Input 31 6 4" xfId="2206" xr:uid="{7997DBB0-FA94-4522-A483-4BC0489A3C5E}"/>
    <cellStyle name="Input 31 6 5" xfId="2591" xr:uid="{D610A0ED-CF84-4692-A017-8A9537D5638F}"/>
    <cellStyle name="Input 31 6 6" xfId="2967" xr:uid="{05B0E3D0-5C33-433A-82A1-432C4710B5A0}"/>
    <cellStyle name="Input 31 6 7" xfId="3334" xr:uid="{25E6B9D5-C90D-4DA3-85C5-46837D94BF91}"/>
    <cellStyle name="Input 31 6 8" xfId="3690" xr:uid="{2C0E736A-98C8-4F1E-85D4-26469E2102B3}"/>
    <cellStyle name="Input 31 7" xfId="643" xr:uid="{022A0EC1-4857-4884-B63B-7CF4B027FF4C}"/>
    <cellStyle name="Input 31 7 2" xfId="1267" xr:uid="{44BE727E-BBBA-4695-96D0-83A3EFC10DBB}"/>
    <cellStyle name="Input 31 7 3" xfId="1658" xr:uid="{01A82E93-6C8D-4D2E-A9ED-6D4570C83BAE}"/>
    <cellStyle name="Input 31 7 4" xfId="2044" xr:uid="{54D2F68D-318D-4B7F-986F-D1264F6CEAA4}"/>
    <cellStyle name="Input 31 7 5" xfId="2430" xr:uid="{DC684306-684D-458F-87BA-0C090C752A4A}"/>
    <cellStyle name="Input 31 7 6" xfId="2806" xr:uid="{5844A754-321F-483D-8FE8-7F2C2AC84DD1}"/>
    <cellStyle name="Input 31 7 7" xfId="3173" xr:uid="{B4035262-FEE2-40DB-9E18-6B714C4238A2}"/>
    <cellStyle name="Input 31 7 8" xfId="3529" xr:uid="{F461DC33-0B02-49CB-B1DA-E81362916E96}"/>
    <cellStyle name="Input 31 8" xfId="734" xr:uid="{6182FDE3-CC70-4FFA-A717-63D4E9FFE631}"/>
    <cellStyle name="Input 31 8 2" xfId="1357" xr:uid="{E7803DA4-DD4C-4A23-B182-DA2E274A0920}"/>
    <cellStyle name="Input 31 8 3" xfId="1747" xr:uid="{ABE5FF87-7C1E-4F37-A0BA-FA8EC1B6AB76}"/>
    <cellStyle name="Input 31 8 4" xfId="2134" xr:uid="{D4E2A36F-8EFC-4840-A778-B8BBD82A2087}"/>
    <cellStyle name="Input 31 8 5" xfId="2519" xr:uid="{585E7E7A-A8F7-4E47-947D-DBEEB7DB8AE6}"/>
    <cellStyle name="Input 31 8 6" xfId="2895" xr:uid="{ECA8A2AF-55F3-4D2C-8935-3DBC27CB30EB}"/>
    <cellStyle name="Input 31 8 7" xfId="3262" xr:uid="{1828F27B-1404-4A0E-BD66-03D9DD336940}"/>
    <cellStyle name="Input 31 8 8" xfId="3618" xr:uid="{A1739BE2-21A6-4226-A36F-0B6BBBB9B498}"/>
    <cellStyle name="Input 31 9" xfId="1170" xr:uid="{FF87B380-5A4E-4C31-9848-DDB10DAE7F1A}"/>
    <cellStyle name="Input 32" xfId="494" xr:uid="{549D518E-C3F6-456D-A369-06A4CFA08C49}"/>
    <cellStyle name="Input 32 10" xfId="1100" xr:uid="{3BCAC302-1837-40E8-9F66-438AA3ADD2DB}"/>
    <cellStyle name="Input 32 11" xfId="437" xr:uid="{64F492D4-2103-4D70-B2DA-72493F43F752}"/>
    <cellStyle name="Input 32 12" xfId="987" xr:uid="{751B52AD-4A20-428F-BEA3-7F3BA777262D}"/>
    <cellStyle name="Input 32 13" xfId="1201" xr:uid="{57CE7761-2ACA-4549-8DAD-71F7B8C1D679}"/>
    <cellStyle name="Input 32 14" xfId="986" xr:uid="{1328CFEF-48F2-402C-964B-5F990C36A20E}"/>
    <cellStyle name="Input 32 15" xfId="2395" xr:uid="{C4B97CE4-36FC-4ECD-AA1E-887AB35B934E}"/>
    <cellStyle name="Input 32 2" xfId="803" xr:uid="{7E73764B-A62F-4EFB-B6CB-EADF8755F50B}"/>
    <cellStyle name="Input 32 2 2" xfId="1426" xr:uid="{5BB4D9AB-852F-4B7E-8BC9-A8A57145B23D}"/>
    <cellStyle name="Input 32 2 3" xfId="1816" xr:uid="{1E9FB7FA-2C5C-47C0-A880-10F98F5F8B29}"/>
    <cellStyle name="Input 32 2 4" xfId="2203" xr:uid="{CE5C2255-26B6-4EFB-9699-3C78E1C9963D}"/>
    <cellStyle name="Input 32 2 5" xfId="2588" xr:uid="{D2315199-F92C-4764-A882-27E89F795C16}"/>
    <cellStyle name="Input 32 2 6" xfId="2964" xr:uid="{7B367A54-5042-4593-A1B9-2216F0355708}"/>
    <cellStyle name="Input 32 2 7" xfId="3331" xr:uid="{70602A42-7AC2-4B40-BCEA-E8D568C38CEA}"/>
    <cellStyle name="Input 32 2 8" xfId="3687" xr:uid="{855A1727-8D67-4C79-AE0F-EE3F5A917D11}"/>
    <cellStyle name="Input 32 3" xfId="717" xr:uid="{5E8F91E4-2649-4AA1-8C8E-447C16208CF5}"/>
    <cellStyle name="Input 32 3 2" xfId="1340" xr:uid="{6C8F033C-258F-4752-A621-C4637FC9C595}"/>
    <cellStyle name="Input 32 3 3" xfId="1731" xr:uid="{DE78DD5A-D2AC-40ED-A9E3-2344AD2CFC80}"/>
    <cellStyle name="Input 32 3 4" xfId="2117" xr:uid="{DA00D277-87FE-4123-A03C-112183761850}"/>
    <cellStyle name="Input 32 3 5" xfId="2503" xr:uid="{06F67D97-1DA7-4DDE-B658-CEDE34D509DC}"/>
    <cellStyle name="Input 32 3 6" xfId="2879" xr:uid="{EC13193F-3E03-4014-8E3F-F9448760C62F}"/>
    <cellStyle name="Input 32 3 7" xfId="3246" xr:uid="{16DDF424-1164-46F4-ABBA-29C825168B19}"/>
    <cellStyle name="Input 32 3 8" xfId="3602" xr:uid="{87D9F7D6-0F5E-4960-A2AB-53CB1098DE80}"/>
    <cellStyle name="Input 32 4" xfId="840" xr:uid="{AC858739-17F8-4D37-BDCD-071811B887AA}"/>
    <cellStyle name="Input 32 4 2" xfId="1462" xr:uid="{D506AABF-AF16-4429-8F4A-32F4C0708C67}"/>
    <cellStyle name="Input 32 4 3" xfId="1852" xr:uid="{F29354ED-7C8E-4D3C-BB63-349ACC6068EC}"/>
    <cellStyle name="Input 32 4 4" xfId="2239" xr:uid="{053350A9-123F-4BCD-A26D-27673A4D8A39}"/>
    <cellStyle name="Input 32 4 5" xfId="2624" xr:uid="{A32936CF-8CDB-494C-B99B-77D6AEA09759}"/>
    <cellStyle name="Input 32 4 6" xfId="3000" xr:uid="{7DD9A0AD-34DB-4BB9-BFF5-4799ADC86E1B}"/>
    <cellStyle name="Input 32 4 7" xfId="3367" xr:uid="{F6AC1707-A450-4E6F-8B5E-37F1DD1427F5}"/>
    <cellStyle name="Input 32 4 8" xfId="3723" xr:uid="{A83BCBD3-2D7C-4E57-9740-62137FE6E549}"/>
    <cellStyle name="Input 32 5" xfId="812" xr:uid="{C99E5A7F-5C3F-433B-A7A9-06908697478C}"/>
    <cellStyle name="Input 32 5 2" xfId="1435" xr:uid="{77179F8A-8D59-44A5-845F-ECD7A77F6906}"/>
    <cellStyle name="Input 32 5 3" xfId="1825" xr:uid="{91DB5ABB-9A1C-44D3-9604-DDDE6727F015}"/>
    <cellStyle name="Input 32 5 4" xfId="2212" xr:uid="{5945E23D-CBB3-4D62-A253-357C1F89D9AB}"/>
    <cellStyle name="Input 32 5 5" xfId="2597" xr:uid="{973DDB8D-201A-40F2-83A1-3931791349EB}"/>
    <cellStyle name="Input 32 5 6" xfId="2973" xr:uid="{7CF9E36D-D2D4-4DF0-BB2D-701B86A85598}"/>
    <cellStyle name="Input 32 5 7" xfId="3340" xr:uid="{3698D300-8B03-4EB6-BA34-6D96A729EBE0}"/>
    <cellStyle name="Input 32 5 8" xfId="3696" xr:uid="{12C5A110-88C1-45B6-B4B2-7719A44D8491}"/>
    <cellStyle name="Input 32 6" xfId="858" xr:uid="{0321757F-CAC5-459F-B397-70B675BBCCDF}"/>
    <cellStyle name="Input 32 6 2" xfId="1480" xr:uid="{76EC3BE2-272F-4CEA-BABF-0AB4E1113CB7}"/>
    <cellStyle name="Input 32 6 3" xfId="1870" xr:uid="{40B9652A-E954-445F-9D8D-85DE6D737960}"/>
    <cellStyle name="Input 32 6 4" xfId="2257" xr:uid="{62B82A64-CFDA-4C06-AE56-03A380EF8A16}"/>
    <cellStyle name="Input 32 6 5" xfId="2642" xr:uid="{634CE3B9-2973-47AE-BFBD-0EEB06F71812}"/>
    <cellStyle name="Input 32 6 6" xfId="3018" xr:uid="{6A2513F4-D3C1-4314-883A-2E2915DF9F84}"/>
    <cellStyle name="Input 32 6 7" xfId="3385" xr:uid="{C459E453-6CF5-47F8-A566-AF29EAB8B1E6}"/>
    <cellStyle name="Input 32 6 8" xfId="3741" xr:uid="{BDB8D7D2-5835-447A-B8AA-4ABA38FDFAD1}"/>
    <cellStyle name="Input 32 7" xfId="844" xr:uid="{565028AC-E455-4345-B7B4-6CD1E94B9F70}"/>
    <cellStyle name="Input 32 7 2" xfId="1466" xr:uid="{6BEEFD46-60E9-4E0B-ABEE-83BECD723DFC}"/>
    <cellStyle name="Input 32 7 3" xfId="1856" xr:uid="{62DE002E-091E-4399-A6B8-DD8CDFD87A17}"/>
    <cellStyle name="Input 32 7 4" xfId="2243" xr:uid="{94F5B166-CB0F-4AF3-BCA1-D45F62F28D7C}"/>
    <cellStyle name="Input 32 7 5" xfId="2628" xr:uid="{2EF45C30-D851-4089-9334-F1093AED4E9A}"/>
    <cellStyle name="Input 32 7 6" xfId="3004" xr:uid="{699CB377-5535-49C6-B749-55C6454BEFAA}"/>
    <cellStyle name="Input 32 7 7" xfId="3371" xr:uid="{040A660D-6EEC-495B-9C98-48B5403639A6}"/>
    <cellStyle name="Input 32 7 8" xfId="3727" xr:uid="{DDD8E10B-8E18-4DE4-9306-B4D387E0B6BD}"/>
    <cellStyle name="Input 32 8" xfId="662" xr:uid="{3D20C0B3-928A-476F-ACFB-E274B5584D70}"/>
    <cellStyle name="Input 32 8 2" xfId="1286" xr:uid="{A89CA19E-9390-44A4-A92A-B5FD640DFB34}"/>
    <cellStyle name="Input 32 8 3" xfId="1677" xr:uid="{961BB7FD-4809-4255-A065-9D3D1EC42896}"/>
    <cellStyle name="Input 32 8 4" xfId="2063" xr:uid="{D0F66D09-7C3D-4966-969A-AB4F5F1F4922}"/>
    <cellStyle name="Input 32 8 5" xfId="2449" xr:uid="{C63FB11A-31DE-4DE8-AC7A-C93E8DA61D0D}"/>
    <cellStyle name="Input 32 8 6" xfId="2825" xr:uid="{FA15F20E-104B-4062-8EED-35FD916552FE}"/>
    <cellStyle name="Input 32 8 7" xfId="3192" xr:uid="{C4580876-31F4-4C27-9580-0EA2F57ED133}"/>
    <cellStyle name="Input 32 8 8" xfId="3548" xr:uid="{D88EFA10-6B17-4E5B-9DAE-1E1A85BAF5B5}"/>
    <cellStyle name="Input 32 9" xfId="1171" xr:uid="{9FF75B31-3A23-4156-ABE3-964F067D30DC}"/>
    <cellStyle name="Input 33" xfId="495" xr:uid="{BA81DF3C-5DB2-40C2-9531-B272FC92AC46}"/>
    <cellStyle name="Input 33 10" xfId="134" xr:uid="{167E5319-A459-441A-8F9E-9CBEF509AE92}"/>
    <cellStyle name="Input 33 11" xfId="1077" xr:uid="{53767076-9B90-4FE0-B21B-4D2057C62756}"/>
    <cellStyle name="Input 33 12" xfId="1183" xr:uid="{BC313B22-F0A1-48BC-930A-407AED8D34B8}"/>
    <cellStyle name="Input 33 13" xfId="2386" xr:uid="{EB167F98-E322-439A-8D81-6C45ECDB8ADE}"/>
    <cellStyle name="Input 33 14" xfId="1136" xr:uid="{3E31BC45-722B-446C-8403-2B33B9EB9566}"/>
    <cellStyle name="Input 33 15" xfId="3137" xr:uid="{9AF37EEE-13D8-403E-981C-1546AED61469}"/>
    <cellStyle name="Input 33 2" xfId="804" xr:uid="{B6F02B24-7236-4FE7-9876-A688AD3B1132}"/>
    <cellStyle name="Input 33 2 2" xfId="1427" xr:uid="{853606F6-FB53-4EC3-BB20-44920B34A237}"/>
    <cellStyle name="Input 33 2 3" xfId="1817" xr:uid="{55274AA4-6DBD-4062-B655-72AABFFBC8C6}"/>
    <cellStyle name="Input 33 2 4" xfId="2204" xr:uid="{48FC6EC9-3FCB-4DFA-822C-5A85CCA0DC24}"/>
    <cellStyle name="Input 33 2 5" xfId="2589" xr:uid="{11783343-048C-4A0B-B982-FB92D8D75A44}"/>
    <cellStyle name="Input 33 2 6" xfId="2965" xr:uid="{59983D30-B244-4121-807A-09472797E54D}"/>
    <cellStyle name="Input 33 2 7" xfId="3332" xr:uid="{5B9C54E3-FC34-48C7-BEF4-B040B7B18BB5}"/>
    <cellStyle name="Input 33 2 8" xfId="3688" xr:uid="{69FFE3F7-A621-42BF-9B5A-1B0D1B005208}"/>
    <cellStyle name="Input 33 3" xfId="653" xr:uid="{12AC42F0-B08A-4381-B46B-35C6DA6640C7}"/>
    <cellStyle name="Input 33 3 2" xfId="1277" xr:uid="{A086E560-B81B-4EB4-9D63-E7B6AB47560D}"/>
    <cellStyle name="Input 33 3 3" xfId="1668" xr:uid="{F8A66DB9-E67D-4FB3-8D23-ACBB8FFB11C0}"/>
    <cellStyle name="Input 33 3 4" xfId="2054" xr:uid="{8C5B75F5-BEEA-4DCE-AAB7-F694D96E9B84}"/>
    <cellStyle name="Input 33 3 5" xfId="2440" xr:uid="{0B494A31-48EE-4AE8-81AB-48E25C9282C9}"/>
    <cellStyle name="Input 33 3 6" xfId="2816" xr:uid="{3817CF5C-2E30-47D7-8161-EC263759E913}"/>
    <cellStyle name="Input 33 3 7" xfId="3183" xr:uid="{48E7FC3B-7208-43DA-9BB7-EF9DC519FE68}"/>
    <cellStyle name="Input 33 3 8" xfId="3539" xr:uid="{F38FFE90-187A-48F2-B56E-B3435FA7E95B}"/>
    <cellStyle name="Input 33 4" xfId="845" xr:uid="{1DC15404-1532-49A6-BAE9-45C8BD7FBF55}"/>
    <cellStyle name="Input 33 4 2" xfId="1467" xr:uid="{89B0D61E-5638-4693-AE6B-10A4D563332E}"/>
    <cellStyle name="Input 33 4 3" xfId="1857" xr:uid="{374A06AD-02FA-4CF7-A518-16FD88CABD3F}"/>
    <cellStyle name="Input 33 4 4" xfId="2244" xr:uid="{BF1E1C75-5688-4686-8320-5A3FAC415553}"/>
    <cellStyle name="Input 33 4 5" xfId="2629" xr:uid="{E7C74707-B150-4574-9D06-03978068FB1C}"/>
    <cellStyle name="Input 33 4 6" xfId="3005" xr:uid="{DA205147-93FF-4E1B-BAD9-9F316899339B}"/>
    <cellStyle name="Input 33 4 7" xfId="3372" xr:uid="{F6C9F2EC-06C3-4713-BE19-5CD149AC1F5A}"/>
    <cellStyle name="Input 33 4 8" xfId="3728" xr:uid="{5003445E-573C-4A12-9466-AD9B762C891C}"/>
    <cellStyle name="Input 33 5" xfId="859" xr:uid="{80227405-C7C5-46F7-9081-25780E79BF56}"/>
    <cellStyle name="Input 33 5 2" xfId="1481" xr:uid="{8B85EAC6-FBF0-4682-A5C4-EFB1F1BE43B2}"/>
    <cellStyle name="Input 33 5 3" xfId="1871" xr:uid="{7FD657BC-9425-4417-A457-6386DB513764}"/>
    <cellStyle name="Input 33 5 4" xfId="2258" xr:uid="{2CF85A4A-33E1-491A-A1F8-032E0544823A}"/>
    <cellStyle name="Input 33 5 5" xfId="2643" xr:uid="{174E8467-451C-4C72-80C1-8EBA62EDC8D2}"/>
    <cellStyle name="Input 33 5 6" xfId="3019" xr:uid="{0EFDB032-EF22-4404-A459-24E58AF64A05}"/>
    <cellStyle name="Input 33 5 7" xfId="3386" xr:uid="{94FBC43D-77C5-4D11-9D50-3EA132C4BE19}"/>
    <cellStyle name="Input 33 5 8" xfId="3742" xr:uid="{09482CEF-3D99-40FE-92B3-63D3DE08FF2F}"/>
    <cellStyle name="Input 33 6" xfId="817" xr:uid="{0F644512-F89C-4D19-BEB0-C2524F74F0EF}"/>
    <cellStyle name="Input 33 6 2" xfId="1440" xr:uid="{222FF648-C93F-465E-916B-665B4AF119EE}"/>
    <cellStyle name="Input 33 6 3" xfId="1830" xr:uid="{ED3F0463-803E-4543-8D27-212E23AB6235}"/>
    <cellStyle name="Input 33 6 4" xfId="2217" xr:uid="{492BE586-FCFC-4D80-AF83-36E863628298}"/>
    <cellStyle name="Input 33 6 5" xfId="2602" xr:uid="{47BDC0B9-C634-4673-8311-B8B8F1EF159E}"/>
    <cellStyle name="Input 33 6 6" xfId="2978" xr:uid="{2F18836D-5C90-4E6E-9BEA-167481F3D3EB}"/>
    <cellStyle name="Input 33 6 7" xfId="3345" xr:uid="{AEE50691-4EFD-4F72-98D6-0264ABB8C6E8}"/>
    <cellStyle name="Input 33 6 8" xfId="3701" xr:uid="{FE338A17-9B06-43C5-9864-95A32FA4ACA8}"/>
    <cellStyle name="Input 33 7" xfId="630" xr:uid="{20E1B09B-6CCB-45FF-81B0-6D1E072D03E0}"/>
    <cellStyle name="Input 33 7 2" xfId="1254" xr:uid="{6573F485-A24F-4AA8-9502-29D360FC9728}"/>
    <cellStyle name="Input 33 7 3" xfId="1645" xr:uid="{22F8A872-28BF-402E-9CF3-CFC282D5CA60}"/>
    <cellStyle name="Input 33 7 4" xfId="2032" xr:uid="{FF843089-E750-424B-AB93-61E53F6F6C6C}"/>
    <cellStyle name="Input 33 7 5" xfId="2417" xr:uid="{36B00AE1-709E-498A-AA34-3696A6F30E13}"/>
    <cellStyle name="Input 33 7 6" xfId="2794" xr:uid="{7F0107ED-12C0-4A7B-86F3-A6124C383C8D}"/>
    <cellStyle name="Input 33 7 7" xfId="3160" xr:uid="{64E8B2EC-E951-4B78-A817-A1BB3BA15016}"/>
    <cellStyle name="Input 33 7 8" xfId="3517" xr:uid="{1C26129F-CDBA-42A0-A257-9215394BD5FD}"/>
    <cellStyle name="Input 33 8" xfId="764" xr:uid="{D6387E51-25B9-4763-84F9-946A82AC3AE2}"/>
    <cellStyle name="Input 33 8 2" xfId="1387" xr:uid="{EF9F5036-FB6C-4E0A-AE6A-E59E4988D7C3}"/>
    <cellStyle name="Input 33 8 3" xfId="1777" xr:uid="{C47C3DDA-13F7-4C9D-947D-BE1EFC893B2E}"/>
    <cellStyle name="Input 33 8 4" xfId="2164" xr:uid="{FE32D09A-1008-4E87-B1D5-65EDDF29AC11}"/>
    <cellStyle name="Input 33 8 5" xfId="2549" xr:uid="{EB7F6EBC-549F-4748-9069-C41EB9E056F3}"/>
    <cellStyle name="Input 33 8 6" xfId="2925" xr:uid="{CBAA4660-0BEB-4A8C-869C-2660E0F1FE33}"/>
    <cellStyle name="Input 33 8 7" xfId="3292" xr:uid="{C427EB74-19E6-40E1-BC0E-D5298FFC33C3}"/>
    <cellStyle name="Input 33 8 8" xfId="3648" xr:uid="{6E8F8594-00AA-4C74-A7F3-CECBDBC9CF95}"/>
    <cellStyle name="Input 33 9" xfId="1172" xr:uid="{DA3B3597-B50F-4F07-8911-DEE0DD97AE73}"/>
    <cellStyle name="Input 34" xfId="569" xr:uid="{6102B7F1-D3AD-4CA1-91C5-829408B77976}"/>
    <cellStyle name="Input 34 10" xfId="1606" xr:uid="{15046FFC-CE38-4934-AB64-F0AB11EADAD3}"/>
    <cellStyle name="Input 34 11" xfId="1995" xr:uid="{4D5683C8-AA6C-4B71-A8B4-B60EE08A3A89}"/>
    <cellStyle name="Input 34 12" xfId="2379" xr:uid="{3728FDD0-7FA7-43AB-911A-282FE516E419}"/>
    <cellStyle name="Input 34 13" xfId="2764" xr:uid="{E23CE921-8A42-44F5-BAAC-2DD4E9D60AAF}"/>
    <cellStyle name="Input 34 14" xfId="3136" xr:uid="{683611B6-2C50-4D6C-A5AB-3C69578C4F7D}"/>
    <cellStyle name="Input 34 15" xfId="3503" xr:uid="{0D8E4705-30FD-44D7-B347-874475F0A502}"/>
    <cellStyle name="Input 34 2" xfId="851" xr:uid="{AE808130-3EC8-433E-80FF-B888FDB433E3}"/>
    <cellStyle name="Input 34 2 2" xfId="1473" xr:uid="{FEA29C8A-DE31-4CA5-AA30-A163FB18061F}"/>
    <cellStyle name="Input 34 2 3" xfId="1863" xr:uid="{7CE8A2EC-4545-4BDB-918E-15D91C050FA5}"/>
    <cellStyle name="Input 34 2 4" xfId="2250" xr:uid="{5D8F0446-310C-45C9-927C-BD6A954596A1}"/>
    <cellStyle name="Input 34 2 5" xfId="2635" xr:uid="{DFFF03EC-2DE1-460D-85B5-9E4688CB7D60}"/>
    <cellStyle name="Input 34 2 6" xfId="3011" xr:uid="{D5407B06-56B3-4D8E-9545-5EB8ECC9E290}"/>
    <cellStyle name="Input 34 2 7" xfId="3378" xr:uid="{F35B3359-C798-4C7A-93B3-F50C2E96DD1C}"/>
    <cellStyle name="Input 34 2 8" xfId="3734" xr:uid="{4B7E60B4-6137-438C-B3E7-CCC5AC3BB447}"/>
    <cellStyle name="Input 34 3" xfId="883" xr:uid="{8C1CEF4F-2798-4372-B872-E1C41F2137B8}"/>
    <cellStyle name="Input 34 3 2" xfId="1504" xr:uid="{A8349A7C-E8AA-4CC8-9685-CF9A67FAD29A}"/>
    <cellStyle name="Input 34 3 3" xfId="1895" xr:uid="{E6083885-C63C-4BFD-A44E-D99A5A21201A}"/>
    <cellStyle name="Input 34 3 4" xfId="2281" xr:uid="{730B04F2-03CC-41F0-812C-54C0A24066A1}"/>
    <cellStyle name="Input 34 3 5" xfId="2667" xr:uid="{09F68D2D-D308-438C-AD5E-F16E0ACF3D28}"/>
    <cellStyle name="Input 34 3 6" xfId="3042" xr:uid="{443AB8C6-D3D6-48D7-864D-94FB3FED1CC9}"/>
    <cellStyle name="Input 34 3 7" xfId="3409" xr:uid="{9DD42538-1556-460E-99EA-71B0E73A615C}"/>
    <cellStyle name="Input 34 3 8" xfId="3765" xr:uid="{43B09B3A-4F4D-4671-AC0D-F09F93230E64}"/>
    <cellStyle name="Input 34 4" xfId="909" xr:uid="{383EBD98-0951-439F-987A-9E526E2BE313}"/>
    <cellStyle name="Input 34 4 2" xfId="1530" xr:uid="{6D22D98B-E60D-462E-8897-1D7252EC574B}"/>
    <cellStyle name="Input 34 4 3" xfId="1921" xr:uid="{F35630A0-453D-4FE9-B5EC-088404DB7CA0}"/>
    <cellStyle name="Input 34 4 4" xfId="2307" xr:uid="{377E6E45-A317-451D-9BA1-EB8769103F18}"/>
    <cellStyle name="Input 34 4 5" xfId="2693" xr:uid="{4C0B51D8-007B-4C1E-9567-8D06C9BCBEFB}"/>
    <cellStyle name="Input 34 4 6" xfId="3068" xr:uid="{3A3F8C03-9B46-476C-8CE8-CDC44B481972}"/>
    <cellStyle name="Input 34 4 7" xfId="3435" xr:uid="{5D492DE2-BEE2-48C2-8DE3-B0B33B09E339}"/>
    <cellStyle name="Input 34 4 8" xfId="3791" xr:uid="{9D14CE60-165E-4F9D-AC37-D30AD2A6AB7B}"/>
    <cellStyle name="Input 34 5" xfId="934" xr:uid="{BEF130C6-B18B-486D-9914-8EA0866BFE5E}"/>
    <cellStyle name="Input 34 5 2" xfId="1555" xr:uid="{74B87B85-6039-4D9F-A72C-DA48073F5E64}"/>
    <cellStyle name="Input 34 5 3" xfId="1946" xr:uid="{C8D6B274-3F67-4675-95C3-1405FCFABA44}"/>
    <cellStyle name="Input 34 5 4" xfId="2332" xr:uid="{A16F8A02-4332-4AC1-AB13-C4AA9D405853}"/>
    <cellStyle name="Input 34 5 5" xfId="2718" xr:uid="{11F00DFB-36C9-467E-8044-BBC8C356FFAC}"/>
    <cellStyle name="Input 34 5 6" xfId="3093" xr:uid="{4E8E4EFC-CA79-47D4-A084-4856D7A3055D}"/>
    <cellStyle name="Input 34 5 7" xfId="3460" xr:uid="{7B94B1BB-6504-45CE-B26F-B5E2F14681C6}"/>
    <cellStyle name="Input 34 5 8" xfId="3815" xr:uid="{995ABD48-A10A-49F6-B0DF-DF884C2EDE3E}"/>
    <cellStyle name="Input 34 6" xfId="952" xr:uid="{A398B957-B317-4348-88C4-D5962583CAF6}"/>
    <cellStyle name="Input 34 6 2" xfId="1573" xr:uid="{6BCB84A1-158E-4041-8A58-ECB6027BCF7F}"/>
    <cellStyle name="Input 34 6 3" xfId="1964" xr:uid="{F108FF59-6610-4A8E-8BCD-2FB5CA136B1B}"/>
    <cellStyle name="Input 34 6 4" xfId="2350" xr:uid="{3898333D-CAB1-4A41-A5A8-55440BD19F3F}"/>
    <cellStyle name="Input 34 6 5" xfId="2736" xr:uid="{1380B8A2-F260-4B44-BA2E-CE4D69DAF9B5}"/>
    <cellStyle name="Input 34 6 6" xfId="3111" xr:uid="{E05C2150-C77E-4199-90FA-E277EB80BBD3}"/>
    <cellStyle name="Input 34 6 7" xfId="3478" xr:uid="{E5B5D94F-4961-4B1F-A97D-BD1463223155}"/>
    <cellStyle name="Input 34 6 8" xfId="3833" xr:uid="{C03493BC-6F9F-44FE-834B-D41AAD6987E5}"/>
    <cellStyle name="Input 34 7" xfId="963" xr:uid="{3A932C88-4459-4DF4-A092-54FB363CDFBC}"/>
    <cellStyle name="Input 34 7 2" xfId="1584" xr:uid="{C44D37B5-D209-4FC7-8EBF-6920DC0D7766}"/>
    <cellStyle name="Input 34 7 3" xfId="1975" xr:uid="{72741429-44C2-4F3F-BE2B-B82C9B97086F}"/>
    <cellStyle name="Input 34 7 4" xfId="2361" xr:uid="{5F12E155-6381-4E34-ADF5-35287BBB9A72}"/>
    <cellStyle name="Input 34 7 5" xfId="2747" xr:uid="{038DDF44-47CE-4E4A-9B1F-85703A763D8D}"/>
    <cellStyle name="Input 34 7 6" xfId="3122" xr:uid="{131F618A-BD2F-4CA4-B5C3-52178318DDE6}"/>
    <cellStyle name="Input 34 7 7" xfId="3489" xr:uid="{3E9153BA-772A-4128-9B6C-2A14A1706BA9}"/>
    <cellStyle name="Input 34 7 8" xfId="3844" xr:uid="{FA6BB6BC-7376-4C4A-8E6C-292B38D558CC}"/>
    <cellStyle name="Input 34 8" xfId="973" xr:uid="{0965811B-AB78-4647-8C90-3CC22087A5CF}"/>
    <cellStyle name="Input 34 8 2" xfId="1594" xr:uid="{A0ADA5BA-4B70-409D-AB70-95E2F0F45721}"/>
    <cellStyle name="Input 34 8 3" xfId="1985" xr:uid="{9AA5EF33-96BA-4BA3-8CA1-E39A639DAFA5}"/>
    <cellStyle name="Input 34 8 4" xfId="2371" xr:uid="{9111489C-CCB7-40F0-AA87-516ED8852D13}"/>
    <cellStyle name="Input 34 8 5" xfId="2757" xr:uid="{ACCBD84C-2225-48D5-A853-44D03E6CE59F}"/>
    <cellStyle name="Input 34 8 6" xfId="3132" xr:uid="{341739A5-A80F-4B81-9FC7-F8056A9E0B37}"/>
    <cellStyle name="Input 34 8 7" xfId="3499" xr:uid="{A935F3CC-E91F-4113-8081-C8B2FA0D581A}"/>
    <cellStyle name="Input 34 8 8" xfId="3854" xr:uid="{73CA4848-C722-4F00-A242-97A440B683FD}"/>
    <cellStyle name="Input 34 9" xfId="1216" xr:uid="{4F9EF16E-7C28-43B0-A53E-86E47FEE27DC}"/>
    <cellStyle name="Input 35" xfId="563" xr:uid="{4E125725-817B-4D01-8702-3A0F91DE033B}"/>
    <cellStyle name="Input 35 10" xfId="1602" xr:uid="{A38C328A-A542-43B9-AAE5-D48A236E4A52}"/>
    <cellStyle name="Input 35 11" xfId="1993" xr:uid="{701A73F3-17BC-4067-9EEE-AE4706FB0C54}"/>
    <cellStyle name="Input 35 12" xfId="2377" xr:uid="{A2238E01-3F22-4A3C-9B73-9AB9BACF4B33}"/>
    <cellStyle name="Input 35 13" xfId="2762" xr:uid="{D7496B40-3B61-4D74-91CE-BDCA4DBDFC14}"/>
    <cellStyle name="Input 35 14" xfId="3134" xr:uid="{70B54D6B-C4BB-456D-AA4D-40EBD38DA2B3}"/>
    <cellStyle name="Input 35 15" xfId="3501" xr:uid="{BAB44FBC-EA07-4B3B-863F-14CF6EE44FBF}"/>
    <cellStyle name="Input 35 2" xfId="848" xr:uid="{AC2EA8D9-DCEC-4371-A8B3-E2BE42E17C4E}"/>
    <cellStyle name="Input 35 2 2" xfId="1470" xr:uid="{C6C9EB85-9637-48E9-911F-3A376A2FA922}"/>
    <cellStyle name="Input 35 2 3" xfId="1860" xr:uid="{192AA94A-E58F-4A58-8701-E18C56394E93}"/>
    <cellStyle name="Input 35 2 4" xfId="2247" xr:uid="{B1D32D85-B245-4C87-99FF-9D957252B458}"/>
    <cellStyle name="Input 35 2 5" xfId="2632" xr:uid="{044CD973-528D-44E5-9721-509BA95161B2}"/>
    <cellStyle name="Input 35 2 6" xfId="3008" xr:uid="{0D73ED7A-DAA2-4373-BB6A-CC0689291E62}"/>
    <cellStyle name="Input 35 2 7" xfId="3375" xr:uid="{FBF45D05-7957-40D8-B1ED-3F4B3697171D}"/>
    <cellStyle name="Input 35 2 8" xfId="3731" xr:uid="{4B1965FE-E4BB-4586-A4F0-BFC1B060FF7C}"/>
    <cellStyle name="Input 35 3" xfId="880" xr:uid="{3CC30F9B-34AB-4CA3-87A3-E3487196518B}"/>
    <cellStyle name="Input 35 3 2" xfId="1501" xr:uid="{971C544F-1A2F-46D0-A8C3-CCB612C35E48}"/>
    <cellStyle name="Input 35 3 3" xfId="1892" xr:uid="{3294D926-23C8-44CF-A749-90C3E2CA13CE}"/>
    <cellStyle name="Input 35 3 4" xfId="2278" xr:uid="{ED974074-B7A1-467D-85AE-7F784E89ACB7}"/>
    <cellStyle name="Input 35 3 5" xfId="2664" xr:uid="{4981AF53-D041-4E96-BF31-56C8127C9212}"/>
    <cellStyle name="Input 35 3 6" xfId="3039" xr:uid="{ED5E799A-2751-4B53-BA4B-74CD4A3908CA}"/>
    <cellStyle name="Input 35 3 7" xfId="3406" xr:uid="{73F4FBD7-209A-41CD-B258-91EB0F310F8D}"/>
    <cellStyle name="Input 35 3 8" xfId="3762" xr:uid="{86B54468-D3F2-408C-B1E1-FD776B339E7B}"/>
    <cellStyle name="Input 35 4" xfId="641" xr:uid="{EA0705B7-C94B-4DE9-AD51-2E350D98BFCC}"/>
    <cellStyle name="Input 35 4 2" xfId="1265" xr:uid="{E19EA8FE-7312-4D0A-96CE-E161E4B694B3}"/>
    <cellStyle name="Input 35 4 3" xfId="1656" xr:uid="{BE6924B7-77BB-4C2C-AF61-88FFC30B94A2}"/>
    <cellStyle name="Input 35 4 4" xfId="2042" xr:uid="{CDCF95C9-C823-45A9-99AE-0825D5FEE7BF}"/>
    <cellStyle name="Input 35 4 5" xfId="2428" xr:uid="{5051FE3F-5CDC-4890-BA24-AFDD300E9CF3}"/>
    <cellStyle name="Input 35 4 6" xfId="2804" xr:uid="{EF7CD1F8-91E7-4D63-BFDA-E911D3D10AD5}"/>
    <cellStyle name="Input 35 4 7" xfId="3171" xr:uid="{B6A46BB9-9BA4-48AE-99A8-6FB2DBA0143D}"/>
    <cellStyle name="Input 35 4 8" xfId="3527" xr:uid="{3450556F-705F-43AC-8B71-9F3F27AC61F0}"/>
    <cellStyle name="Input 35 5" xfId="931" xr:uid="{0BF7C43E-3664-41D2-BAF4-98A1902A304D}"/>
    <cellStyle name="Input 35 5 2" xfId="1552" xr:uid="{08A7C965-14D0-45EC-A570-A03051B4127D}"/>
    <cellStyle name="Input 35 5 3" xfId="1943" xr:uid="{5A991BC5-1C7C-4134-B834-DE5EF8F074C9}"/>
    <cellStyle name="Input 35 5 4" xfId="2329" xr:uid="{CFD45EF5-7F24-40AE-ABBA-89E00D6E3F92}"/>
    <cellStyle name="Input 35 5 5" xfId="2715" xr:uid="{E32545B9-DF7F-4E36-9BCC-AAAD586EBD06}"/>
    <cellStyle name="Input 35 5 6" xfId="3090" xr:uid="{B2C88C9C-1D7E-491F-BB8B-5B259936E30B}"/>
    <cellStyle name="Input 35 5 7" xfId="3457" xr:uid="{13F8300E-9402-4D04-AEF7-463B8DC990C3}"/>
    <cellStyle name="Input 35 5 8" xfId="3812" xr:uid="{3FACA7AA-DC29-49E1-B713-924941753801}"/>
    <cellStyle name="Input 35 6" xfId="950" xr:uid="{940B1E22-F1E3-4BFC-B587-6ADB0B1D2600}"/>
    <cellStyle name="Input 35 6 2" xfId="1571" xr:uid="{26788CA5-3A3A-40C1-9A3E-3D28D5DF1443}"/>
    <cellStyle name="Input 35 6 3" xfId="1962" xr:uid="{0B6E9842-3F18-45E1-A43F-4A95D8A38046}"/>
    <cellStyle name="Input 35 6 4" xfId="2348" xr:uid="{ABA6FE30-7AC0-4E64-8638-4461F60F5D5C}"/>
    <cellStyle name="Input 35 6 5" xfId="2734" xr:uid="{20774050-AAC8-4EE6-901B-0920E9CBE3D5}"/>
    <cellStyle name="Input 35 6 6" xfId="3109" xr:uid="{DFB7639C-2A85-4061-AF1D-DD0A3C3FEC43}"/>
    <cellStyle name="Input 35 6 7" xfId="3476" xr:uid="{C9E723F8-090E-4249-AF80-F8752D9CB355}"/>
    <cellStyle name="Input 35 6 8" xfId="3831" xr:uid="{14419154-D688-4405-B83B-B10D24AE7E2C}"/>
    <cellStyle name="Input 35 7" xfId="961" xr:uid="{179EEEBF-A1D8-4284-93D6-58500B5400CF}"/>
    <cellStyle name="Input 35 7 2" xfId="1582" xr:uid="{95B48739-ED64-4D4A-A07F-B846C74B6FD7}"/>
    <cellStyle name="Input 35 7 3" xfId="1973" xr:uid="{75D0539D-3073-4994-9AC4-0EAFF3EBBA63}"/>
    <cellStyle name="Input 35 7 4" xfId="2359" xr:uid="{AD1AD847-7766-4469-A959-905DF2D40E70}"/>
    <cellStyle name="Input 35 7 5" xfId="2745" xr:uid="{04DFC039-6C22-4A21-9EE2-9D1F01808EEA}"/>
    <cellStyle name="Input 35 7 6" xfId="3120" xr:uid="{89894E05-3616-462F-8E5E-C690E9CE80C7}"/>
    <cellStyle name="Input 35 7 7" xfId="3487" xr:uid="{08D0E69F-4249-424C-9B5C-C9F3CCDDB2F8}"/>
    <cellStyle name="Input 35 7 8" xfId="3842" xr:uid="{4F2568A0-7F19-47B0-864B-DC1B57A7D98E}"/>
    <cellStyle name="Input 35 8" xfId="739" xr:uid="{9BA62D6A-B91C-4CFE-A4EF-DE929F544EEC}"/>
    <cellStyle name="Input 35 8 2" xfId="1362" xr:uid="{CE309EBE-C95F-4FDE-88E4-ED3F2B43D598}"/>
    <cellStyle name="Input 35 8 3" xfId="1752" xr:uid="{5AF7AC37-A6DF-4461-90B8-E302A4825C3C}"/>
    <cellStyle name="Input 35 8 4" xfId="2139" xr:uid="{0132A894-72A7-4F1A-8A7E-D942B533493F}"/>
    <cellStyle name="Input 35 8 5" xfId="2524" xr:uid="{35FBC2B5-BD2A-4D59-8BD1-98DFFB89FBA6}"/>
    <cellStyle name="Input 35 8 6" xfId="2900" xr:uid="{86C1F4AF-C6D6-4A20-897F-212C92BB9344}"/>
    <cellStyle name="Input 35 8 7" xfId="3267" xr:uid="{74D2FE0E-3567-448F-ACE9-E87FF8B5091A}"/>
    <cellStyle name="Input 35 8 8" xfId="3623" xr:uid="{65F396EE-41B5-4480-9F0F-000BF808B208}"/>
    <cellStyle name="Input 35 9" xfId="1210" xr:uid="{D26346D1-8D17-43D5-B11B-F1DE6706256D}"/>
    <cellStyle name="Input 36" xfId="562" xr:uid="{ADFDBE2C-9FFD-4C16-8037-C95B486DB234}"/>
    <cellStyle name="Input 36 10" xfId="1601" xr:uid="{E7C23474-2776-4DEA-8FCD-8A987A40DF1C}"/>
    <cellStyle name="Input 36 11" xfId="1992" xr:uid="{61B2B4A0-7553-4057-BBEF-F7B9BBB6CF7A}"/>
    <cellStyle name="Input 36 12" xfId="2376" xr:uid="{562EB225-98A4-4DAA-923C-1ACB89378F19}"/>
    <cellStyle name="Input 36 13" xfId="2761" xr:uid="{429020EE-34D8-41CE-B0EC-3EDEDE1D7C15}"/>
    <cellStyle name="Input 36 14" xfId="3133" xr:uid="{DC036E77-24D9-4013-8F73-50CA5BB4AE11}"/>
    <cellStyle name="Input 36 15" xfId="3500" xr:uid="{CC3FF139-F6BB-4D0D-B4CE-DEA9D57D13FC}"/>
    <cellStyle name="Input 36 2" xfId="847" xr:uid="{44685817-1935-4C39-BF5F-4272461C9441}"/>
    <cellStyle name="Input 36 2 2" xfId="1469" xr:uid="{5F02F80F-C4BF-4C44-8ECB-7F925937128B}"/>
    <cellStyle name="Input 36 2 3" xfId="1859" xr:uid="{AE353994-979B-4958-857B-F3AEB96BE3F6}"/>
    <cellStyle name="Input 36 2 4" xfId="2246" xr:uid="{13BF4632-1039-4956-92CA-AF1A2BA29D94}"/>
    <cellStyle name="Input 36 2 5" xfId="2631" xr:uid="{E5018442-6B04-4DDF-9323-3F59F5EDA328}"/>
    <cellStyle name="Input 36 2 6" xfId="3007" xr:uid="{308F053B-45D6-4DB0-A51C-9A29F83D2F68}"/>
    <cellStyle name="Input 36 2 7" xfId="3374" xr:uid="{9B358CCB-A344-459B-AF2A-28E5B7EEC680}"/>
    <cellStyle name="Input 36 2 8" xfId="3730" xr:uid="{4AB1ED19-57BA-494B-9747-5FED227C9E05}"/>
    <cellStyle name="Input 36 3" xfId="879" xr:uid="{620D8453-6E76-429C-A3BC-5B40015D3861}"/>
    <cellStyle name="Input 36 3 2" xfId="1500" xr:uid="{F675B433-332E-4113-8855-E963FA5C1735}"/>
    <cellStyle name="Input 36 3 3" xfId="1891" xr:uid="{5938C838-4EF4-4E07-9B4C-FC65D2340112}"/>
    <cellStyle name="Input 36 3 4" xfId="2277" xr:uid="{DBB8C5C5-BD09-4F90-8CFB-1C5F39186238}"/>
    <cellStyle name="Input 36 3 5" xfId="2663" xr:uid="{6577357C-FE8B-4931-BC9B-F446E54EABED}"/>
    <cellStyle name="Input 36 3 6" xfId="3038" xr:uid="{5A83F7DE-80EF-4A9B-ACF3-3A4DAD0C3F95}"/>
    <cellStyle name="Input 36 3 7" xfId="3405" xr:uid="{0B988B15-87A9-4CB1-881A-A8256FAB0F04}"/>
    <cellStyle name="Input 36 3 8" xfId="3761" xr:uid="{16981CDA-A47B-4A14-88E2-AFD28C078124}"/>
    <cellStyle name="Input 36 4" xfId="640" xr:uid="{D7D16415-DB99-4155-83ED-331F0C557956}"/>
    <cellStyle name="Input 36 4 2" xfId="1264" xr:uid="{A7E8A936-15E3-49A3-8341-9123D5969562}"/>
    <cellStyle name="Input 36 4 3" xfId="1655" xr:uid="{83773172-2434-4066-A23E-1CBED09BC90F}"/>
    <cellStyle name="Input 36 4 4" xfId="2041" xr:uid="{226E3CF9-52FE-4A14-B52D-E86481870AC3}"/>
    <cellStyle name="Input 36 4 5" xfId="2427" xr:uid="{94715633-75E6-488B-9DC9-08E2D86BAD7C}"/>
    <cellStyle name="Input 36 4 6" xfId="2803" xr:uid="{D7441F5E-C9FB-4E03-A494-0C9B9757E0AB}"/>
    <cellStyle name="Input 36 4 7" xfId="3170" xr:uid="{61BE9112-2626-448A-9204-203D64279B32}"/>
    <cellStyle name="Input 36 4 8" xfId="3526" xr:uid="{8B66A0B8-9C37-4BFE-8128-10D760D4DFFF}"/>
    <cellStyle name="Input 36 5" xfId="930" xr:uid="{422EF33D-85A1-4866-BF6F-04406814A15C}"/>
    <cellStyle name="Input 36 5 2" xfId="1551" xr:uid="{2CF749F3-BABA-479C-81CD-9266F1F81053}"/>
    <cellStyle name="Input 36 5 3" xfId="1942" xr:uid="{A832E406-5F30-496C-A9F3-7309384537AE}"/>
    <cellStyle name="Input 36 5 4" xfId="2328" xr:uid="{ECE5BD26-782A-4F6F-84CD-61749D6E6892}"/>
    <cellStyle name="Input 36 5 5" xfId="2714" xr:uid="{742184EE-7A0C-478C-B566-B72652687C6E}"/>
    <cellStyle name="Input 36 5 6" xfId="3089" xr:uid="{795F650C-5C50-4599-8872-C8142B645B7E}"/>
    <cellStyle name="Input 36 5 7" xfId="3456" xr:uid="{16708EC8-A12B-4FFD-97A6-8EFEFF8C3FFE}"/>
    <cellStyle name="Input 36 5 8" xfId="3811" xr:uid="{0999A423-205E-4030-B0EC-DD00FF9176C7}"/>
    <cellStyle name="Input 36 6" xfId="949" xr:uid="{DFD16F54-3B3D-4CF9-8BC7-90816BA6B0A1}"/>
    <cellStyle name="Input 36 6 2" xfId="1570" xr:uid="{F74446E1-AAC2-40E7-AFAC-5D8D9F299996}"/>
    <cellStyle name="Input 36 6 3" xfId="1961" xr:uid="{E79B95A3-B42C-40A3-8C49-AFBB33B7B443}"/>
    <cellStyle name="Input 36 6 4" xfId="2347" xr:uid="{52E9222D-1E57-4849-9BAB-3352B0070F75}"/>
    <cellStyle name="Input 36 6 5" xfId="2733" xr:uid="{3917593D-1D16-45B6-B4EF-706EE409385E}"/>
    <cellStyle name="Input 36 6 6" xfId="3108" xr:uid="{6FB9E342-A1BF-4C72-B0A4-5889B71F34E7}"/>
    <cellStyle name="Input 36 6 7" xfId="3475" xr:uid="{F32EB2E5-87FD-4C67-AC2A-E614C5681709}"/>
    <cellStyle name="Input 36 6 8" xfId="3830" xr:uid="{3E616A48-9CB6-4F1F-807C-9E488914037B}"/>
    <cellStyle name="Input 36 7" xfId="960" xr:uid="{F750D861-9B3B-489C-B140-31B84EF3F3B6}"/>
    <cellStyle name="Input 36 7 2" xfId="1581" xr:uid="{9577634B-7FD7-4EE5-A351-B2BB6ED77228}"/>
    <cellStyle name="Input 36 7 3" xfId="1972" xr:uid="{28634280-76ED-4EBD-981E-D9BCDEE649F3}"/>
    <cellStyle name="Input 36 7 4" xfId="2358" xr:uid="{9F19CC20-0737-448D-A5ED-264EEB4537C3}"/>
    <cellStyle name="Input 36 7 5" xfId="2744" xr:uid="{664F579C-2C29-4483-9D9B-DC06851DE35B}"/>
    <cellStyle name="Input 36 7 6" xfId="3119" xr:uid="{B05A65F4-8B0A-403F-AB83-6272371ADCEF}"/>
    <cellStyle name="Input 36 7 7" xfId="3486" xr:uid="{D2987F0E-E728-44F9-AB6D-6B24CA230159}"/>
    <cellStyle name="Input 36 7 8" xfId="3841" xr:uid="{65DA9717-0247-46BA-BEF1-AD9F84742AA1}"/>
    <cellStyle name="Input 36 8" xfId="339" xr:uid="{0179D971-1FEF-4EDA-A178-7083EE30609E}"/>
    <cellStyle name="Input 36 8 2" xfId="1059" xr:uid="{97E94D95-E6CA-4473-BBCD-4017A2268C95}"/>
    <cellStyle name="Input 36 8 3" xfId="1112" xr:uid="{88BCA386-F8C2-4215-ABE1-CA06E198B278}"/>
    <cellStyle name="Input 36 8 4" xfId="1090" xr:uid="{15B35550-5D57-488E-9B17-9089E52DCCBA}"/>
    <cellStyle name="Input 36 8 5" xfId="1150" xr:uid="{AF865DD1-A151-4801-8F5B-F49A4A93EAF6}"/>
    <cellStyle name="Input 36 8 6" xfId="980" xr:uid="{9F9A1931-E498-4EAD-9007-38148F4FB76E}"/>
    <cellStyle name="Input 36 8 7" xfId="1155" xr:uid="{9431654F-281E-4863-8EEE-6EFA666DED4B}"/>
    <cellStyle name="Input 36 8 8" xfId="164" xr:uid="{57C9916A-4BBB-4798-81C6-E7543731230A}"/>
    <cellStyle name="Input 36 9" xfId="1209" xr:uid="{35D0A77B-FC28-44A7-95F8-74C45F7CB8FA}"/>
    <cellStyle name="Input 37" xfId="568" xr:uid="{84C78CFE-4892-4D8F-B82B-AD470CBED97F}"/>
    <cellStyle name="Input 37 10" xfId="1605" xr:uid="{B2D3AF9D-914F-4CD4-906C-CE16CE1BF575}"/>
    <cellStyle name="Input 37 11" xfId="1994" xr:uid="{20858DD3-368F-47E3-BF47-C2C40F94ABB5}"/>
    <cellStyle name="Input 37 12" xfId="2378" xr:uid="{F5C52DC7-1D6B-45DB-9D24-C740A63EA2FD}"/>
    <cellStyle name="Input 37 13" xfId="2763" xr:uid="{9C08CBDC-1C28-4C89-9784-2987BA9B5DBB}"/>
    <cellStyle name="Input 37 14" xfId="3135" xr:uid="{38202609-7D79-40ED-A450-11C4DF90B92E}"/>
    <cellStyle name="Input 37 15" xfId="3502" xr:uid="{6B79648E-5CC8-45B8-9927-6C6F16600512}"/>
    <cellStyle name="Input 37 2" xfId="850" xr:uid="{D4E03ABF-D025-4224-AA61-0DDED9705BF3}"/>
    <cellStyle name="Input 37 2 2" xfId="1472" xr:uid="{C33316B2-5AE3-4138-9712-B59F631D2E60}"/>
    <cellStyle name="Input 37 2 3" xfId="1862" xr:uid="{4C9A002E-A656-491F-987E-1B14819B0780}"/>
    <cellStyle name="Input 37 2 4" xfId="2249" xr:uid="{C0276AB8-0586-4D4D-91F9-1B23C0B433DC}"/>
    <cellStyle name="Input 37 2 5" xfId="2634" xr:uid="{5684755E-E76B-4E62-BD0C-FDA1AF6ABB70}"/>
    <cellStyle name="Input 37 2 6" xfId="3010" xr:uid="{387AA9BB-7A7E-4BF9-BA52-CEB361258826}"/>
    <cellStyle name="Input 37 2 7" xfId="3377" xr:uid="{F168BFE4-650B-4059-BE8D-0AEC5B6375BA}"/>
    <cellStyle name="Input 37 2 8" xfId="3733" xr:uid="{19E97C48-06E8-4288-AB1C-25FB4394AD35}"/>
    <cellStyle name="Input 37 3" xfId="882" xr:uid="{48D59A99-DA38-4DB9-B9BF-E66A815B7E92}"/>
    <cellStyle name="Input 37 3 2" xfId="1503" xr:uid="{4FE783F3-CC21-4D64-A54E-CA0C0DB55BD6}"/>
    <cellStyle name="Input 37 3 3" xfId="1894" xr:uid="{6177BE0B-9622-4ADD-86C5-40ECD834F0DB}"/>
    <cellStyle name="Input 37 3 4" xfId="2280" xr:uid="{C11DE221-8EC8-4E97-9DA9-C857454B5B24}"/>
    <cellStyle name="Input 37 3 5" xfId="2666" xr:uid="{A678A312-B199-4DA4-BE77-4C44C214D730}"/>
    <cellStyle name="Input 37 3 6" xfId="3041" xr:uid="{8468ED84-E5EE-4A07-BEEF-2D95E36DB25F}"/>
    <cellStyle name="Input 37 3 7" xfId="3408" xr:uid="{7DE0C92E-9C97-465C-B46E-70800EEA981E}"/>
    <cellStyle name="Input 37 3 8" xfId="3764" xr:uid="{4C96FD24-3AE1-45DD-9E86-7E994CC633C1}"/>
    <cellStyle name="Input 37 4" xfId="908" xr:uid="{D3F34CFC-62DE-435B-90E9-777C459C5294}"/>
    <cellStyle name="Input 37 4 2" xfId="1529" xr:uid="{EC732F1D-5EE7-4BD7-A1B5-444D6FCA8840}"/>
    <cellStyle name="Input 37 4 3" xfId="1920" xr:uid="{D28E89FC-5069-47B7-BAE6-2C6202C7D1E1}"/>
    <cellStyle name="Input 37 4 4" xfId="2306" xr:uid="{AF618180-2E2C-4047-87B7-6CF4FB1E341E}"/>
    <cellStyle name="Input 37 4 5" xfId="2692" xr:uid="{1CE858A5-96EF-4994-92AF-46CA69A53CA3}"/>
    <cellStyle name="Input 37 4 6" xfId="3067" xr:uid="{D74206F1-483A-4448-A5E8-E1D023659FCE}"/>
    <cellStyle name="Input 37 4 7" xfId="3434" xr:uid="{10DA3E59-A211-47D7-A500-80AEB247275C}"/>
    <cellStyle name="Input 37 4 8" xfId="3790" xr:uid="{8529A59A-4A6C-4D49-9152-45D20ED406BC}"/>
    <cellStyle name="Input 37 5" xfId="933" xr:uid="{3646E941-E7F2-48C5-99FC-8243A84A3355}"/>
    <cellStyle name="Input 37 5 2" xfId="1554" xr:uid="{ADFCF82A-6D0C-4338-8E95-B68839D65782}"/>
    <cellStyle name="Input 37 5 3" xfId="1945" xr:uid="{E5F3E9F4-5D12-4873-951C-4D7B6A185F52}"/>
    <cellStyle name="Input 37 5 4" xfId="2331" xr:uid="{E17B7C3A-BCEE-4AA0-8A48-17554AE7B5DE}"/>
    <cellStyle name="Input 37 5 5" xfId="2717" xr:uid="{9418F06C-6912-4F9E-AB5B-96BB6857D0C6}"/>
    <cellStyle name="Input 37 5 6" xfId="3092" xr:uid="{7B88261F-8F60-4E6F-B4F4-B14DA3D01C79}"/>
    <cellStyle name="Input 37 5 7" xfId="3459" xr:uid="{1AEDBBCC-EDC7-41EF-A1C9-B4333E54B471}"/>
    <cellStyle name="Input 37 5 8" xfId="3814" xr:uid="{81B43D14-31A3-4650-B594-7BA0E78B80A2}"/>
    <cellStyle name="Input 37 6" xfId="951" xr:uid="{A46EE8E3-D1C7-434A-8F00-EF8BC0099AFA}"/>
    <cellStyle name="Input 37 6 2" xfId="1572" xr:uid="{225E7325-9665-4F1F-B13A-760294C6150B}"/>
    <cellStyle name="Input 37 6 3" xfId="1963" xr:uid="{F5D22473-4398-4A7F-AC06-4F54BA6A1BB3}"/>
    <cellStyle name="Input 37 6 4" xfId="2349" xr:uid="{C33AD2B2-D028-4D60-B031-FB1476765888}"/>
    <cellStyle name="Input 37 6 5" xfId="2735" xr:uid="{F1DE22FB-A130-4FAF-8A25-338046B3EC53}"/>
    <cellStyle name="Input 37 6 6" xfId="3110" xr:uid="{3E7B89FC-C1F6-4AD0-83BF-616EF6F5E4F7}"/>
    <cellStyle name="Input 37 6 7" xfId="3477" xr:uid="{BEF11624-B97E-4B4F-BADE-910F23DEC6ED}"/>
    <cellStyle name="Input 37 6 8" xfId="3832" xr:uid="{524AD1B7-D3DF-4D9A-81D5-A566304779BC}"/>
    <cellStyle name="Input 37 7" xfId="962" xr:uid="{E9B221E2-854A-437F-98D9-5687604E64C9}"/>
    <cellStyle name="Input 37 7 2" xfId="1583" xr:uid="{3E51055C-DDA4-492A-9047-EB5C476DD77E}"/>
    <cellStyle name="Input 37 7 3" xfId="1974" xr:uid="{CD8CE096-695A-48A9-A9AF-88B7FD4FB047}"/>
    <cellStyle name="Input 37 7 4" xfId="2360" xr:uid="{340E3113-A7F7-4AF3-A36B-FF93819B1C3C}"/>
    <cellStyle name="Input 37 7 5" xfId="2746" xr:uid="{803C89D6-6CC6-4EAB-84B8-BA208FB23089}"/>
    <cellStyle name="Input 37 7 6" xfId="3121" xr:uid="{1B125048-6E89-45CC-92B5-63BC8B12791A}"/>
    <cellStyle name="Input 37 7 7" xfId="3488" xr:uid="{818892F4-D2A0-4813-96E4-9DA21E3A7CC9}"/>
    <cellStyle name="Input 37 7 8" xfId="3843" xr:uid="{2C74CCA0-F3F5-468D-80B5-29B957A6F9ED}"/>
    <cellStyle name="Input 37 8" xfId="972" xr:uid="{7F638A45-818E-449D-A77A-923D22CD7407}"/>
    <cellStyle name="Input 37 8 2" xfId="1593" xr:uid="{33517C1A-FC67-490C-8D88-E69DD53D4AC1}"/>
    <cellStyle name="Input 37 8 3" xfId="1984" xr:uid="{0DA91E71-5A38-46EA-9A06-A06D6BD355CA}"/>
    <cellStyle name="Input 37 8 4" xfId="2370" xr:uid="{E8422822-8377-45BE-BB1B-6CD8572C1430}"/>
    <cellStyle name="Input 37 8 5" xfId="2756" xr:uid="{7F4C0F5A-44B4-4610-91B7-C9449F9BC1FC}"/>
    <cellStyle name="Input 37 8 6" xfId="3131" xr:uid="{ABB810D8-733C-4041-A49D-ECCFC752F54F}"/>
    <cellStyle name="Input 37 8 7" xfId="3498" xr:uid="{3DACE198-CB71-46CE-98D9-920C58961FF9}"/>
    <cellStyle name="Input 37 8 8" xfId="3853" xr:uid="{524E8866-7419-4DA2-8275-B43C5A9C7FFE}"/>
    <cellStyle name="Input 37 9" xfId="1215" xr:uid="{6BEC24EB-BAC3-4432-BFEB-D58C4851D585}"/>
    <cellStyle name="Input 38" xfId="193" xr:uid="{DC714888-5674-45DE-ADE0-0B41CAAD18EB}"/>
    <cellStyle name="Input 39" xfId="358" xr:uid="{80F54112-0A43-42BA-9922-B771B874FFB1}"/>
    <cellStyle name="Input 4" xfId="350" xr:uid="{BA3D7752-B47D-41DD-A553-9D353AA04DDD}"/>
    <cellStyle name="Input 4 2" xfId="700" xr:uid="{1FB76619-1134-400E-9638-DFA6E31367E5}"/>
    <cellStyle name="Input 4 2 2" xfId="1323" xr:uid="{541EDF4E-36D1-4C40-AC11-4C808BDA8229}"/>
    <cellStyle name="Input 4 2 3" xfId="1714" xr:uid="{82026A73-11EF-4673-BB8E-BBD95D8A0382}"/>
    <cellStyle name="Input 4 2 4" xfId="2100" xr:uid="{1838ACC2-DE97-4020-884F-C1E218F2CE0E}"/>
    <cellStyle name="Input 4 2 5" xfId="2486" xr:uid="{3D0D5D91-A244-4E3C-A946-A928C52622D5}"/>
    <cellStyle name="Input 4 2 6" xfId="2862" xr:uid="{FCD33E2F-9279-4C73-8B05-212EF6C3277B}"/>
    <cellStyle name="Input 4 2 7" xfId="3229" xr:uid="{767B329A-95A7-4DCD-8857-87D62F217102}"/>
    <cellStyle name="Input 4 2 8" xfId="3585" xr:uid="{3AAC7BB3-0D44-4D12-B904-4E61BA6E0248}"/>
    <cellStyle name="Input 4 3" xfId="842" xr:uid="{9E8BC56B-5CEB-4D88-882D-B663739B565A}"/>
    <cellStyle name="Input 4 3 2" xfId="1464" xr:uid="{3B03F30D-EFF1-4F17-97C7-2BC6FFFEE54D}"/>
    <cellStyle name="Input 4 3 3" xfId="1854" xr:uid="{9D1C3DEF-C575-4976-8FFA-F8BF4DE51A03}"/>
    <cellStyle name="Input 4 3 4" xfId="2241" xr:uid="{D1C00499-7849-48D5-A96D-C463C1DE33D0}"/>
    <cellStyle name="Input 4 3 5" xfId="2626" xr:uid="{276532FF-6CFD-48A0-A3C3-388947041F88}"/>
    <cellStyle name="Input 4 3 6" xfId="3002" xr:uid="{3433B772-195E-48AC-BF12-E9D098E968C3}"/>
    <cellStyle name="Input 4 3 7" xfId="3369" xr:uid="{92E27E4A-4631-404A-937B-F107E0C2AD51}"/>
    <cellStyle name="Input 4 3 8" xfId="3725" xr:uid="{D13C9198-2D8B-4D09-89B7-334D29BCD637}"/>
    <cellStyle name="Input 4 4" xfId="652" xr:uid="{70D17ED7-E225-463C-8963-05988C0CC34F}"/>
    <cellStyle name="Input 4 4 2" xfId="1276" xr:uid="{D06FD8E9-44F7-4E16-BCC8-D23B7EF1A3F5}"/>
    <cellStyle name="Input 4 4 3" xfId="1667" xr:uid="{D1DB8952-C3A3-4680-8FF2-EF0103DD0A44}"/>
    <cellStyle name="Input 4 4 4" xfId="2053" xr:uid="{7A4F6395-F626-4B6D-B839-B351E98420B2}"/>
    <cellStyle name="Input 4 4 5" xfId="2439" xr:uid="{1D75D7C3-C97F-4A85-AD17-5AE6C5D4E67E}"/>
    <cellStyle name="Input 4 4 6" xfId="2815" xr:uid="{120AC01E-745E-4BFB-8D06-867E5BBDC000}"/>
    <cellStyle name="Input 4 4 7" xfId="3182" xr:uid="{425A18AA-E700-4FBA-AF34-9F19038F9BD0}"/>
    <cellStyle name="Input 4 4 8" xfId="3538" xr:uid="{F3215876-1BC3-47C6-8588-3F909ADA062E}"/>
    <cellStyle name="Input 4 5" xfId="619" xr:uid="{E4D64203-DDEE-4B6B-B5BC-6096B7D5646A}"/>
    <cellStyle name="Input 4 5 2" xfId="1243" xr:uid="{32FA757C-ADC0-468A-B53E-EEB3D5EA41D7}"/>
    <cellStyle name="Input 4 5 3" xfId="1634" xr:uid="{56F863B4-73A1-47BA-9FA5-9B980A23CF10}"/>
    <cellStyle name="Input 4 5 4" xfId="2021" xr:uid="{52FA633D-2C03-4BB5-AF91-9A18552F978E}"/>
    <cellStyle name="Input 4 5 5" xfId="2406" xr:uid="{042C0EE9-A73F-43CD-B29D-225492D39114}"/>
    <cellStyle name="Input 4 5 6" xfId="2783" xr:uid="{0453376D-7E27-4EE4-8294-4ECFA502F933}"/>
    <cellStyle name="Input 4 5 7" xfId="3149" xr:uid="{BFDC9F14-E16A-4C2C-B376-EA28F28AFED1}"/>
    <cellStyle name="Input 4 5 8" xfId="3506" xr:uid="{ADDF0218-871A-4793-9A40-117DED718635}"/>
    <cellStyle name="Input 4 6" xfId="855" xr:uid="{D506251F-6E72-43F5-83F1-9C98600A1F8B}"/>
    <cellStyle name="Input 4 6 2" xfId="1477" xr:uid="{847B9906-496A-4AB0-A338-2949D392B3BD}"/>
    <cellStyle name="Input 4 6 3" xfId="1867" xr:uid="{310D3DA6-303C-46ED-8C53-D0C004290A70}"/>
    <cellStyle name="Input 4 6 4" xfId="2254" xr:uid="{7E6D7F19-3F18-4EFC-82BD-F4886D40861D}"/>
    <cellStyle name="Input 4 6 5" xfId="2639" xr:uid="{DB4AB3CE-D69F-493E-A11E-27A9299B4A20}"/>
    <cellStyle name="Input 4 6 6" xfId="3015" xr:uid="{606367C0-7037-44E2-BACA-A752BC56762B}"/>
    <cellStyle name="Input 4 6 7" xfId="3382" xr:uid="{4318CC98-F9B2-40C4-8E2C-D47F4AEAD977}"/>
    <cellStyle name="Input 4 6 8" xfId="3738" xr:uid="{8AF2CFC4-B3FD-4E86-B2F5-EA770A6E47D8}"/>
    <cellStyle name="Input 4 7" xfId="1067" xr:uid="{6F5A4CB1-F85D-481C-BDDC-ECBDCB9C1034}"/>
    <cellStyle name="Input 4 8" xfId="1041" xr:uid="{EB2602A6-B152-43BE-81EB-E6FE96D72461}"/>
    <cellStyle name="Input 40" xfId="683" xr:uid="{D5F1B94D-305A-4CA0-B8CB-96CAED7A88C4}"/>
    <cellStyle name="Input 41" xfId="724" xr:uid="{19305060-EEDA-47AE-849C-A81B87D6F111}"/>
    <cellStyle name="Input 42" xfId="878" xr:uid="{B9E9069D-EF7B-43A5-AE2B-6F8EDBF439ED}"/>
    <cellStyle name="Input 43" xfId="638" xr:uid="{97B4B667-160C-4C7B-8503-02F586C5F047}"/>
    <cellStyle name="Input 44" xfId="822" xr:uid="{688BD865-7C38-42E5-AC99-BF033798C90A}"/>
    <cellStyle name="Input 45" xfId="919" xr:uid="{85AB5A57-A9EA-479B-95EC-4DA5EC121467}"/>
    <cellStyle name="Input 5" xfId="351" xr:uid="{D5D3E6E4-96D6-4839-AA0E-A0D16DCCE1D6}"/>
    <cellStyle name="Input 5 2" xfId="701" xr:uid="{73645A2C-E110-4C8B-8458-272808A41BDE}"/>
    <cellStyle name="Input 5 2 2" xfId="1324" xr:uid="{34EAEC82-B099-4BEC-81D0-A84CAB28AE9E}"/>
    <cellStyle name="Input 5 2 3" xfId="1715" xr:uid="{C7334A6E-ACB5-404C-A18A-ADD90A6A15FD}"/>
    <cellStyle name="Input 5 2 4" xfId="2101" xr:uid="{749062C4-70B0-417B-BF01-81CAA325A2FC}"/>
    <cellStyle name="Input 5 2 5" xfId="2487" xr:uid="{5B21F7F7-3C83-4EE2-ADD3-B44F87E38F3F}"/>
    <cellStyle name="Input 5 2 6" xfId="2863" xr:uid="{7D445FD9-1370-4F41-9E30-AE617B7DB463}"/>
    <cellStyle name="Input 5 2 7" xfId="3230" xr:uid="{DBAEA31E-CA04-422A-A356-71E8AB43856F}"/>
    <cellStyle name="Input 5 2 8" xfId="3586" xr:uid="{7AC40C23-208B-40DE-AE75-22C4DD6137F5}"/>
    <cellStyle name="Input 5 3" xfId="843" xr:uid="{5BF4E3B4-A163-4B6B-8104-1C8A86B07B05}"/>
    <cellStyle name="Input 5 3 2" xfId="1465" xr:uid="{58FBB4E0-4D93-4344-BFF3-C58C49BC72CE}"/>
    <cellStyle name="Input 5 3 3" xfId="1855" xr:uid="{A1387CFC-9FE8-4944-8C1B-466405EA7EDD}"/>
    <cellStyle name="Input 5 3 4" xfId="2242" xr:uid="{77604AC3-C274-4A33-9141-A59953640BEF}"/>
    <cellStyle name="Input 5 3 5" xfId="2627" xr:uid="{C8B83BDA-2F47-4E05-9212-9079CF26C07F}"/>
    <cellStyle name="Input 5 3 6" xfId="3003" xr:uid="{83691900-DC7D-40D1-AC0D-E3206FB51F59}"/>
    <cellStyle name="Input 5 3 7" xfId="3370" xr:uid="{20C11FDE-AD5A-43D3-9879-19C805EB9F92}"/>
    <cellStyle name="Input 5 3 8" xfId="3726" xr:uid="{DFBB400A-8C98-4F49-889B-A2EA339065A8}"/>
    <cellStyle name="Input 5 4" xfId="651" xr:uid="{63F83A33-C24E-4ECB-A7CD-B04BD1D27F8C}"/>
    <cellStyle name="Input 5 4 2" xfId="1275" xr:uid="{16F9B8D7-4857-4AD6-9EBA-15C725ED5872}"/>
    <cellStyle name="Input 5 4 3" xfId="1666" xr:uid="{38725505-D017-4A19-B035-685956689E65}"/>
    <cellStyle name="Input 5 4 4" xfId="2052" xr:uid="{CA73D87B-A9C6-485D-B0E3-1DC8ACE1118A}"/>
    <cellStyle name="Input 5 4 5" xfId="2438" xr:uid="{6D3AFB3E-11D8-449B-9DCF-31D4209DB46D}"/>
    <cellStyle name="Input 5 4 6" xfId="2814" xr:uid="{0DF3F60F-65DC-463C-9B5F-2415C0EE6078}"/>
    <cellStyle name="Input 5 4 7" xfId="3181" xr:uid="{70DB954B-FDC1-4CAD-A7E7-1B028067952B}"/>
    <cellStyle name="Input 5 4 8" xfId="3537" xr:uid="{9B590D7E-C6FE-41EA-837C-4A7B44CB8FE7}"/>
    <cellStyle name="Input 5 5" xfId="807" xr:uid="{A379904E-9E31-464A-B0ED-B0293139A89B}"/>
    <cellStyle name="Input 5 5 2" xfId="1430" xr:uid="{F9604F9B-6132-4B8A-902B-988DB40755E5}"/>
    <cellStyle name="Input 5 5 3" xfId="1820" xr:uid="{02F109D8-A18F-47A8-BD74-5528F021CDC7}"/>
    <cellStyle name="Input 5 5 4" xfId="2207" xr:uid="{7E9EE05A-422A-4040-BF82-96E2BC6715C2}"/>
    <cellStyle name="Input 5 5 5" xfId="2592" xr:uid="{8514DD8C-FFBF-4681-B8F8-B8C5B18EEBE0}"/>
    <cellStyle name="Input 5 5 6" xfId="2968" xr:uid="{CFBADF69-8482-4C02-AC10-4EEA4D19D6E0}"/>
    <cellStyle name="Input 5 5 7" xfId="3335" xr:uid="{B5BEFE3E-A545-4044-8857-B05FE56AB8E2}"/>
    <cellStyle name="Input 5 5 8" xfId="3691" xr:uid="{DE072204-70F0-48C6-89ED-6E6F9617F9BD}"/>
    <cellStyle name="Input 5 6" xfId="854" xr:uid="{9CA9D338-5939-4072-9DC9-F4F35E175F32}"/>
    <cellStyle name="Input 5 6 2" xfId="1476" xr:uid="{FA51C72B-BFCD-4E22-B526-6B2B0AF594B5}"/>
    <cellStyle name="Input 5 6 3" xfId="1866" xr:uid="{F47F92CC-B325-4012-B7EA-FF930DB3AD69}"/>
    <cellStyle name="Input 5 6 4" xfId="2253" xr:uid="{38E2A914-D453-4423-8BAF-5346202245A0}"/>
    <cellStyle name="Input 5 6 5" xfId="2638" xr:uid="{F8540F9F-EA74-47D4-BD16-AF70D3EA3651}"/>
    <cellStyle name="Input 5 6 6" xfId="3014" xr:uid="{EFCD47A3-9466-4D23-93CA-654CE57D8830}"/>
    <cellStyle name="Input 5 6 7" xfId="3381" xr:uid="{7416E8FA-56C2-4C8E-BBC5-5B011759B06B}"/>
    <cellStyle name="Input 5 6 8" xfId="3737" xr:uid="{EFFFD6F5-ECC5-423C-A7FE-6FF51DB6782D}"/>
    <cellStyle name="Input 5 7" xfId="1068" xr:uid="{96D651C0-1194-4054-B5E1-76652F4B4757}"/>
    <cellStyle name="Input 5 8" xfId="1110" xr:uid="{015FE109-2D01-4AF3-A4F1-AA36DA514782}"/>
    <cellStyle name="Input 6" xfId="382" xr:uid="{7B8E3C8C-1015-41CC-8262-977C1BD7E93F}"/>
    <cellStyle name="Input 6 10" xfId="156" xr:uid="{15CF6A21-D52E-4447-8D86-A92C590B43A5}"/>
    <cellStyle name="Input 6 11" xfId="1181" xr:uid="{0AD924AD-6206-4147-9765-50ABD5E15145}"/>
    <cellStyle name="Input 6 12" xfId="1630" xr:uid="{7AD72554-2DDD-48EC-9AA4-A17282840D04}"/>
    <cellStyle name="Input 6 13" xfId="1607" xr:uid="{F50BA41D-88B9-4821-B74D-1D1E7D8D8272}"/>
    <cellStyle name="Input 6 14" xfId="2402" xr:uid="{59C1DC82-C9FC-4A24-88F9-EFCC1F172751}"/>
    <cellStyle name="Input 6 15" xfId="2016" xr:uid="{00DC134E-7FD0-42A4-A9BF-0AC1A20C5480}"/>
    <cellStyle name="Input 6 2" xfId="728" xr:uid="{FE38448C-B89B-4A98-BAA4-7AE8AF7B2EFF}"/>
    <cellStyle name="Input 6 2 2" xfId="1351" xr:uid="{81FEBF67-7828-41C9-AB9B-424296EC79E3}"/>
    <cellStyle name="Input 6 2 3" xfId="1741" xr:uid="{491602B0-F0C2-404E-8CA8-FFDE9BE00A11}"/>
    <cellStyle name="Input 6 2 4" xfId="2128" xr:uid="{7D33FEC7-2A0C-4DFD-B712-9AE3944C3965}"/>
    <cellStyle name="Input 6 2 5" xfId="2513" xr:uid="{91D37410-D221-4B04-99BF-F39E3CB4A089}"/>
    <cellStyle name="Input 6 2 6" xfId="2889" xr:uid="{6D73EBEC-C658-499B-B5ED-88D3FCFB0C96}"/>
    <cellStyle name="Input 6 2 7" xfId="3256" xr:uid="{69B8C209-B047-4CC3-ADE5-6B44D5809C97}"/>
    <cellStyle name="Input 6 2 8" xfId="3612" xr:uid="{4B2C1162-9B48-4CFC-841B-0073CC86DB3A}"/>
    <cellStyle name="Input 6 3" xfId="727" xr:uid="{F9A8AA6B-7CCB-43F1-9970-BD95C13911D1}"/>
    <cellStyle name="Input 6 3 2" xfId="1350" xr:uid="{0E3004D5-1B1F-410C-8DD4-F78468D61F5A}"/>
    <cellStyle name="Input 6 3 3" xfId="1740" xr:uid="{9EC78861-B628-4DA6-9430-8668F25BEC4E}"/>
    <cellStyle name="Input 6 3 4" xfId="2127" xr:uid="{459EE3A0-58F3-4B6F-90A6-1EEAB677791B}"/>
    <cellStyle name="Input 6 3 5" xfId="2512" xr:uid="{255741FD-1FD8-4947-96EE-63FBAD8901BF}"/>
    <cellStyle name="Input 6 3 6" xfId="2888" xr:uid="{76152D18-C190-4F3D-9D9D-7DC7F7F3C8A0}"/>
    <cellStyle name="Input 6 3 7" xfId="3255" xr:uid="{CFD63C99-2DE4-4A1B-89CB-50DB0660991E}"/>
    <cellStyle name="Input 6 3 8" xfId="3611" xr:uid="{9F781A89-1089-4CF4-AFAF-FF7BDC99B16C}"/>
    <cellStyle name="Input 6 4" xfId="841" xr:uid="{09F52461-A16E-4209-B884-DBF927671239}"/>
    <cellStyle name="Input 6 4 2" xfId="1463" xr:uid="{8F2ED3FF-DB8A-46EE-B96F-314AEF790483}"/>
    <cellStyle name="Input 6 4 3" xfId="1853" xr:uid="{CC708766-2984-4B4B-AFA9-4D5F38E7FE09}"/>
    <cellStyle name="Input 6 4 4" xfId="2240" xr:uid="{42488973-1847-4D81-8108-63C8C7053D2D}"/>
    <cellStyle name="Input 6 4 5" xfId="2625" xr:uid="{EAB38D0A-F0DF-4C03-9D21-1744D809AFF3}"/>
    <cellStyle name="Input 6 4 6" xfId="3001" xr:uid="{90AD4D99-A493-44B5-B71F-D74479464469}"/>
    <cellStyle name="Input 6 4 7" xfId="3368" xr:uid="{9B637632-6E1D-41A5-B87A-650D7F6E5384}"/>
    <cellStyle name="Input 6 4 8" xfId="3724" xr:uid="{0EEDB73A-8088-430D-8E04-34D867B5A8F0}"/>
    <cellStyle name="Input 6 5" xfId="753" xr:uid="{1F5913D3-96EA-4D35-8BC2-D3A0B3B07427}"/>
    <cellStyle name="Input 6 5 2" xfId="1376" xr:uid="{76410FB3-D41E-41AC-B138-F7E044EEFA3F}"/>
    <cellStyle name="Input 6 5 3" xfId="1766" xr:uid="{61C8B9D7-FDB3-4D6B-8636-8E48E27ABDF2}"/>
    <cellStyle name="Input 6 5 4" xfId="2153" xr:uid="{E8ACDCBC-4092-4004-B7B4-D4D12C3841F8}"/>
    <cellStyle name="Input 6 5 5" xfId="2538" xr:uid="{FD71F5B0-3173-479E-9CE0-8BD80DD5200C}"/>
    <cellStyle name="Input 6 5 6" xfId="2914" xr:uid="{4B18335D-9C72-4E90-A08E-8F0DDD6425FE}"/>
    <cellStyle name="Input 6 5 7" xfId="3281" xr:uid="{2A926CE0-970F-40C2-9EE3-FD1EAE18D4E3}"/>
    <cellStyle name="Input 6 5 8" xfId="3637" xr:uid="{37C266ED-0133-4FF4-96EC-AFFD18D89C60}"/>
    <cellStyle name="Input 6 6" xfId="907" xr:uid="{9A430F77-C76C-498E-B850-324B91A560F3}"/>
    <cellStyle name="Input 6 6 2" xfId="1528" xr:uid="{0A25BB5A-F0DD-45B6-B572-89058BB0708B}"/>
    <cellStyle name="Input 6 6 3" xfId="1919" xr:uid="{C65D0CF4-8E8A-4796-B8ED-96324D4F5328}"/>
    <cellStyle name="Input 6 6 4" xfId="2305" xr:uid="{94C5757C-35EB-4B59-AC3C-D1F616351E17}"/>
    <cellStyle name="Input 6 6 5" xfId="2691" xr:uid="{1022F2FD-91E5-412B-A228-A31B4DDECA2E}"/>
    <cellStyle name="Input 6 6 6" xfId="3066" xr:uid="{4416E7F5-4C8B-4A4B-A924-29BA65BE33C3}"/>
    <cellStyle name="Input 6 6 7" xfId="3433" xr:uid="{A55254C8-9D06-4457-B4C8-41602BD161DA}"/>
    <cellStyle name="Input 6 6 8" xfId="3789" xr:uid="{FD9D1005-7731-4EEB-B109-4767C2344E48}"/>
    <cellStyle name="Input 6 7" xfId="948" xr:uid="{10C80156-8EEF-4FF3-A4D3-CAB729746D39}"/>
    <cellStyle name="Input 6 7 2" xfId="1569" xr:uid="{F5DBCE45-E85B-4554-A6D4-8734BED0CA47}"/>
    <cellStyle name="Input 6 7 3" xfId="1960" xr:uid="{71C9BFC5-8F44-4DDB-A9E6-3D73712852A7}"/>
    <cellStyle name="Input 6 7 4" xfId="2346" xr:uid="{FE585BB9-D520-4F4D-A5BD-3F35699082E1}"/>
    <cellStyle name="Input 6 7 5" xfId="2732" xr:uid="{09A95CB6-0F5A-411D-B2D6-335DFA29B7C7}"/>
    <cellStyle name="Input 6 7 6" xfId="3107" xr:uid="{D03851E2-80A8-447A-A05F-1D6ECD4ECEB8}"/>
    <cellStyle name="Input 6 7 7" xfId="3474" xr:uid="{CDD5324A-C702-4E4E-9005-424FA35E0572}"/>
    <cellStyle name="Input 6 7 8" xfId="3829" xr:uid="{10A10562-94BC-493B-8D49-16410697F18A}"/>
    <cellStyle name="Input 6 8" xfId="735" xr:uid="{47C33D53-F23A-4DFC-A607-631525D509D2}"/>
    <cellStyle name="Input 6 8 2" xfId="1358" xr:uid="{E4C2A0C0-C2A1-4E16-A91D-ECF103004491}"/>
    <cellStyle name="Input 6 8 3" xfId="1748" xr:uid="{A826853E-4B16-4A23-A1C7-606E83F00F58}"/>
    <cellStyle name="Input 6 8 4" xfId="2135" xr:uid="{5FEB3192-FBB2-4F52-AF8B-BF6E850F95D3}"/>
    <cellStyle name="Input 6 8 5" xfId="2520" xr:uid="{84FF74D4-8053-45BE-B638-33F1A6C9DF2A}"/>
    <cellStyle name="Input 6 8 6" xfId="2896" xr:uid="{479E079F-121E-4CC1-857B-C6FA5C8B006A}"/>
    <cellStyle name="Input 6 8 7" xfId="3263" xr:uid="{EE3D2791-6F59-4D7B-A20F-121B034628CF}"/>
    <cellStyle name="Input 6 8 8" xfId="3619" xr:uid="{82BED1E2-3CF3-4C83-8C90-72DC008C8A68}"/>
    <cellStyle name="Input 6 9" xfId="1091" xr:uid="{170ECB87-3996-4FF2-8C45-CA21E55AF84B}"/>
    <cellStyle name="Input 7" xfId="391" xr:uid="{5C7987F0-EDD1-4B59-B7A4-6AB857535DB8}"/>
    <cellStyle name="Input 7 10" xfId="1088" xr:uid="{DBEC8D3E-B6C7-47BC-AF4D-9B43E278AAC4}"/>
    <cellStyle name="Input 7 11" xfId="154" xr:uid="{DC23A1F7-5BCD-406B-8894-41CC683EC9F8}"/>
    <cellStyle name="Input 7 12" xfId="1208" xr:uid="{398049C7-F5D5-4E6A-AB6D-37D320E9106E}"/>
    <cellStyle name="Input 7 13" xfId="1020" xr:uid="{FC08DEF2-8471-401F-88F4-A5141ADC031A}"/>
    <cellStyle name="Input 7 14" xfId="1029" xr:uid="{80302C71-C57A-4C42-9D23-3977B736BCE5}"/>
    <cellStyle name="Input 7 15" xfId="1081" xr:uid="{AA1F1445-EDB8-4FB3-8191-CA4D965435F5}"/>
    <cellStyle name="Input 7 2" xfId="736" xr:uid="{C2C12C34-5AEE-4269-B5AA-AB7B8757CF5F}"/>
    <cellStyle name="Input 7 2 2" xfId="1359" xr:uid="{9C859E52-BF50-4271-88BF-04829234EB98}"/>
    <cellStyle name="Input 7 2 3" xfId="1749" xr:uid="{285BFCF5-CD24-49AB-A6C6-8BBEA11FE153}"/>
    <cellStyle name="Input 7 2 4" xfId="2136" xr:uid="{0FA53CC0-3F3B-49BC-8A1D-DA41D85D0F18}"/>
    <cellStyle name="Input 7 2 5" xfId="2521" xr:uid="{4C00D149-7534-47AF-AC7B-D050166FE786}"/>
    <cellStyle name="Input 7 2 6" xfId="2897" xr:uid="{37CF2CA8-BAE1-49AB-9DBD-0E40907F002B}"/>
    <cellStyle name="Input 7 2 7" xfId="3264" xr:uid="{527A427D-BD6C-4B3E-8A14-0B79113E1A61}"/>
    <cellStyle name="Input 7 2 8" xfId="3620" xr:uid="{F8E5FE40-2AA5-4D23-9701-DD1350AB4E48}"/>
    <cellStyle name="Input 7 3" xfId="702" xr:uid="{B21BF684-16E5-4D92-8372-4BB150DD554A}"/>
    <cellStyle name="Input 7 3 2" xfId="1325" xr:uid="{C8C4914E-6844-4EBB-BA68-146CB53E6079}"/>
    <cellStyle name="Input 7 3 3" xfId="1716" xr:uid="{F9009891-101B-473E-812B-D304965F9790}"/>
    <cellStyle name="Input 7 3 4" xfId="2102" xr:uid="{785988AD-A554-4490-8BB5-C231438D737B}"/>
    <cellStyle name="Input 7 3 5" xfId="2488" xr:uid="{B7DDE378-8FB7-4A4A-84A2-F2846F59F0E3}"/>
    <cellStyle name="Input 7 3 6" xfId="2864" xr:uid="{7CE11F16-9404-4F81-9EC2-B6A55DD7A1C2}"/>
    <cellStyle name="Input 7 3 7" xfId="3231" xr:uid="{E2BC6F91-CD95-4C64-8695-038C21A3D1E9}"/>
    <cellStyle name="Input 7 3 8" xfId="3587" xr:uid="{C8191CB8-8025-4B51-A3E5-5BC815B4BA83}"/>
    <cellStyle name="Input 7 4" xfId="762" xr:uid="{0521D697-F357-4606-96BC-4E2C14D5F438}"/>
    <cellStyle name="Input 7 4 2" xfId="1385" xr:uid="{5F7FF6E1-4687-4F5D-8C55-8ED8A37F56AA}"/>
    <cellStyle name="Input 7 4 3" xfId="1775" xr:uid="{82A7A5C9-0238-45E6-BDA3-13B2C1EA572F}"/>
    <cellStyle name="Input 7 4 4" xfId="2162" xr:uid="{D37C5855-6950-4C2C-BC10-95D0626E67DD}"/>
    <cellStyle name="Input 7 4 5" xfId="2547" xr:uid="{375FA05A-D3B9-494D-A96E-DE82A41A3B9E}"/>
    <cellStyle name="Input 7 4 6" xfId="2923" xr:uid="{AEF9BCA8-118D-4853-AA3F-554A8AADBCF9}"/>
    <cellStyle name="Input 7 4 7" xfId="3290" xr:uid="{FC16D916-AB82-4C48-B6E1-724903DE8DDF}"/>
    <cellStyle name="Input 7 4 8" xfId="3646" xr:uid="{3EAD3D7F-F83E-4DCC-8C9D-1B583A0A878A}"/>
    <cellStyle name="Input 7 5" xfId="713" xr:uid="{921B312B-0961-4414-91C1-9B9AD01D8338}"/>
    <cellStyle name="Input 7 5 2" xfId="1336" xr:uid="{9CA84231-2F70-42C5-A604-362DF8D33E6F}"/>
    <cellStyle name="Input 7 5 3" xfId="1727" xr:uid="{ADE8B897-0B91-4B03-9845-09D8A3076369}"/>
    <cellStyle name="Input 7 5 4" xfId="2113" xr:uid="{A28EEB37-4CA9-4AAF-8BC8-128C52DE8AC9}"/>
    <cellStyle name="Input 7 5 5" xfId="2499" xr:uid="{435DC0DD-EFBA-4F76-86CB-A22B7FDE5585}"/>
    <cellStyle name="Input 7 5 6" xfId="2875" xr:uid="{1930404E-4410-44D9-9DC6-C6D4D4E06EA9}"/>
    <cellStyle name="Input 7 5 7" xfId="3242" xr:uid="{A697A65E-174D-44C1-BBEF-EC9C32B15A28}"/>
    <cellStyle name="Input 7 5 8" xfId="3598" xr:uid="{D67CBDA5-A9D5-412C-944D-C7E074B3CBB8}"/>
    <cellStyle name="Input 7 6" xfId="849" xr:uid="{197A2EB3-3985-4BE0-9267-6E4533F1BA22}"/>
    <cellStyle name="Input 7 6 2" xfId="1471" xr:uid="{D3DF2B7D-8B1D-4FC3-83A5-A7082476A61E}"/>
    <cellStyle name="Input 7 6 3" xfId="1861" xr:uid="{3E374C89-9FD7-4EDE-B9F0-3243A6FDADE2}"/>
    <cellStyle name="Input 7 6 4" xfId="2248" xr:uid="{A9C651A4-68A8-471B-884F-9C2F1C2CBE4B}"/>
    <cellStyle name="Input 7 6 5" xfId="2633" xr:uid="{D896838F-8972-49F6-A2D5-1F5778BDBD25}"/>
    <cellStyle name="Input 7 6 6" xfId="3009" xr:uid="{19808C75-9159-4A5A-89DD-610FDAD17785}"/>
    <cellStyle name="Input 7 6 7" xfId="3376" xr:uid="{FB502A60-50C3-4913-8BCD-9F80FAD8AEC8}"/>
    <cellStyle name="Input 7 6 8" xfId="3732" xr:uid="{DB81E7F1-4E6C-4A18-8695-CD45AE9D878C}"/>
    <cellStyle name="Input 7 7" xfId="821" xr:uid="{8143187B-A8D0-4AB4-8EC3-B9E9E80EB82E}"/>
    <cellStyle name="Input 7 7 2" xfId="1444" xr:uid="{494B3D75-F2FD-44D9-9C32-4CE2DBD1F742}"/>
    <cellStyle name="Input 7 7 3" xfId="1834" xr:uid="{2F85E9F5-9EF3-48EE-BB52-6944C7D0B3C1}"/>
    <cellStyle name="Input 7 7 4" xfId="2221" xr:uid="{05E7ACED-4C0D-427D-AD96-F012F1A15BE1}"/>
    <cellStyle name="Input 7 7 5" xfId="2606" xr:uid="{F8C68B68-A623-4A79-B395-5AA6F9BEF91B}"/>
    <cellStyle name="Input 7 7 6" xfId="2982" xr:uid="{210403D4-8A10-46CC-9F78-BDF356515BF9}"/>
    <cellStyle name="Input 7 7 7" xfId="3349" xr:uid="{4F28A43F-D471-4EC1-A4CE-DA2D503D514D}"/>
    <cellStyle name="Input 7 7 8" xfId="3705" xr:uid="{B9F0EBF2-F761-46CB-B9A9-2013DA8579E9}"/>
    <cellStyle name="Input 7 8" xfId="820" xr:uid="{400143B5-0101-484E-82D0-8349EDCFE953}"/>
    <cellStyle name="Input 7 8 2" xfId="1443" xr:uid="{6F76FDF7-6CCC-44CE-A74F-2A7348149ABA}"/>
    <cellStyle name="Input 7 8 3" xfId="1833" xr:uid="{2A6D2C40-04BC-4A3F-9AF5-C980EC57F3C5}"/>
    <cellStyle name="Input 7 8 4" xfId="2220" xr:uid="{F9E63059-4308-4589-BC5C-C6FF4F59710F}"/>
    <cellStyle name="Input 7 8 5" xfId="2605" xr:uid="{95611A6E-BFF8-49F1-ADC0-BC259570C520}"/>
    <cellStyle name="Input 7 8 6" xfId="2981" xr:uid="{86872CC4-1AF6-436C-87BF-C45E6ED148D0}"/>
    <cellStyle name="Input 7 8 7" xfId="3348" xr:uid="{2870C105-23AC-443D-A2C3-A70612A30CB0}"/>
    <cellStyle name="Input 7 8 8" xfId="3704" xr:uid="{4A5D6D6E-82A7-42C5-A9D1-23D032778448}"/>
    <cellStyle name="Input 7 9" xfId="1098" xr:uid="{22DEF362-4E82-4334-8018-FA526C7B78A7}"/>
    <cellStyle name="Input 8" xfId="434" xr:uid="{0632C520-F780-4E76-BAE4-6FF57C857F5C}"/>
    <cellStyle name="Input 8 10" xfId="1116" xr:uid="{0FECD91C-B940-41A1-AEAA-2E852C33FBF2}"/>
    <cellStyle name="Input 8 11" xfId="1085" xr:uid="{B4E6E441-49D6-4C6C-BB8F-44DEA9567D7A}"/>
    <cellStyle name="Input 8 12" xfId="1050" xr:uid="{E07676DD-F2FB-4296-89B3-E352D3B8EF00}"/>
    <cellStyle name="Input 8 13" xfId="180" xr:uid="{4822C365-0296-4950-B4DE-4D611601A0CD}"/>
    <cellStyle name="Input 8 14" xfId="1197" xr:uid="{0D79ABEC-9DD2-4C8E-8C5F-FC3A147DADF4}"/>
    <cellStyle name="Input 8 15" xfId="1623" xr:uid="{661BDD5C-375B-4C7F-9A1C-49C148BECC2F}"/>
    <cellStyle name="Input 8 2" xfId="759" xr:uid="{C7CF67E4-25D7-4B81-BB49-A3B3CBCC518C}"/>
    <cellStyle name="Input 8 2 2" xfId="1382" xr:uid="{BBD13907-1637-46FC-ACD6-DF6D1365C0E6}"/>
    <cellStyle name="Input 8 2 3" xfId="1772" xr:uid="{822219A7-E02E-468B-A02D-F92A967B1D04}"/>
    <cellStyle name="Input 8 2 4" xfId="2159" xr:uid="{CCF5876F-B1A8-4F73-8FF6-2EF4834CBFB9}"/>
    <cellStyle name="Input 8 2 5" xfId="2544" xr:uid="{DBB2693E-3A65-4C67-B3E3-B12011493915}"/>
    <cellStyle name="Input 8 2 6" xfId="2920" xr:uid="{9AD9DFB8-9F21-4CBE-8421-0307F8736652}"/>
    <cellStyle name="Input 8 2 7" xfId="3287" xr:uid="{CA2FF3E1-2737-4AFE-8AAD-9223BDCE4575}"/>
    <cellStyle name="Input 8 2 8" xfId="3643" xr:uid="{4FDC0923-BC38-43BD-BEE9-9248D84787C4}"/>
    <cellStyle name="Input 8 3" xfId="352" xr:uid="{D0C3DBB8-63B5-47EC-B748-BE0BCA948EA6}"/>
    <cellStyle name="Input 8 3 2" xfId="1069" xr:uid="{0B56F071-D6A4-4468-954E-0DA5D7CA9B0A}"/>
    <cellStyle name="Input 8 3 3" xfId="140" xr:uid="{7593CF6D-3786-450E-BE58-7CA4D8082853}"/>
    <cellStyle name="Input 8 3 4" xfId="1200" xr:uid="{463483F3-5065-430D-B0C2-321A114136F9}"/>
    <cellStyle name="Input 8 3 5" xfId="1037" xr:uid="{6B1797B0-1D9E-4177-B862-C576E341ED86}"/>
    <cellStyle name="Input 8 3 6" xfId="2396" xr:uid="{53684361-B4B6-4520-8647-5D7B276B00F3}"/>
    <cellStyle name="Input 8 3 7" xfId="1628" xr:uid="{77AEB440-45E2-4D09-A2D2-7E656E1C7AB9}"/>
    <cellStyle name="Input 8 3 8" xfId="3142" xr:uid="{6D0C9367-1203-4342-800D-C499045317EE}"/>
    <cellStyle name="Input 8 4" xfId="624" xr:uid="{1EA0A5F3-A18E-4B85-9B6C-3483C3468571}"/>
    <cellStyle name="Input 8 4 2" xfId="1248" xr:uid="{9B817AB4-00FD-426F-8E5D-1D864BB39F2F}"/>
    <cellStyle name="Input 8 4 3" xfId="1639" xr:uid="{5CB79A28-2C49-4563-976D-5C2B116E2F7C}"/>
    <cellStyle name="Input 8 4 4" xfId="2026" xr:uid="{20526C64-52B2-48EA-96D5-4607ECB865C8}"/>
    <cellStyle name="Input 8 4 5" xfId="2411" xr:uid="{CCF406A6-48EB-4402-8FCC-11AF43CFC94F}"/>
    <cellStyle name="Input 8 4 6" xfId="2788" xr:uid="{68BF0241-CA66-47A1-B562-34E90DD63BF0}"/>
    <cellStyle name="Input 8 4 7" xfId="3154" xr:uid="{42B81AB1-5920-4ED0-A711-C887CF9D8363}"/>
    <cellStyle name="Input 8 4 8" xfId="3511" xr:uid="{8F6D223D-01A2-42CC-AEDE-521008CE16D1}"/>
    <cellStyle name="Input 8 5" xfId="678" xr:uid="{5CB81BDF-54CC-4089-B497-1A903E53A30D}"/>
    <cellStyle name="Input 8 5 2" xfId="1302" xr:uid="{88E42248-4536-4C06-8FC6-315B34A58A46}"/>
    <cellStyle name="Input 8 5 3" xfId="1693" xr:uid="{4242E644-8055-4F63-BF53-F396FCA0D005}"/>
    <cellStyle name="Input 8 5 4" xfId="2079" xr:uid="{73DAD3F1-3611-474F-9F2C-E4F1508160E7}"/>
    <cellStyle name="Input 8 5 5" xfId="2465" xr:uid="{CE1DF89B-3736-4A46-8D30-35000081C26F}"/>
    <cellStyle name="Input 8 5 6" xfId="2841" xr:uid="{2A22366B-CB95-4CF8-9148-3320ACE533DA}"/>
    <cellStyle name="Input 8 5 7" xfId="3208" xr:uid="{270138A2-F798-4649-95CB-7CD418B30984}"/>
    <cellStyle name="Input 8 5 8" xfId="3564" xr:uid="{5C8E464B-6017-45D4-8B7B-75928EE43775}"/>
    <cellStyle name="Input 8 6" xfId="899" xr:uid="{BCE5A41E-8125-4BCF-AAC3-847601A1D3FA}"/>
    <cellStyle name="Input 8 6 2" xfId="1520" xr:uid="{7725FB87-9EBA-4C96-81C8-A5C568A7D07E}"/>
    <cellStyle name="Input 8 6 3" xfId="1911" xr:uid="{258AEC40-E549-4356-B68E-9918CBAD0667}"/>
    <cellStyle name="Input 8 6 4" xfId="2297" xr:uid="{BB3D4DE8-7C5F-4A9E-85A8-9FAF91E677B6}"/>
    <cellStyle name="Input 8 6 5" xfId="2683" xr:uid="{E840C9AA-4986-4701-8A3C-51ECC4CB4BE1}"/>
    <cellStyle name="Input 8 6 6" xfId="3058" xr:uid="{AE0A992E-4EC2-4D40-A5C7-8B6C633FFF4C}"/>
    <cellStyle name="Input 8 6 7" xfId="3425" xr:uid="{8CDC263B-74FC-4616-96BB-1200EB905C92}"/>
    <cellStyle name="Input 8 6 8" xfId="3781" xr:uid="{30A9488B-A9F4-4A48-A479-BA7E378FA9EA}"/>
    <cellStyle name="Input 8 7" xfId="751" xr:uid="{55020EAC-361F-4C13-9088-AD25DE8FE72D}"/>
    <cellStyle name="Input 8 7 2" xfId="1374" xr:uid="{6C510DF8-9E30-45FB-8C29-67F98D94BBAC}"/>
    <cellStyle name="Input 8 7 3" xfId="1764" xr:uid="{7CFE0EFB-CB9B-48E2-A806-E6B2AD73B83C}"/>
    <cellStyle name="Input 8 7 4" xfId="2151" xr:uid="{0F08D5F2-232F-478D-91D0-E28F898B50AE}"/>
    <cellStyle name="Input 8 7 5" xfId="2536" xr:uid="{16D3F285-F179-4CDF-A018-5900A9CAA87C}"/>
    <cellStyle name="Input 8 7 6" xfId="2912" xr:uid="{4768BE30-BB89-46A7-B4F6-F81934A63CAE}"/>
    <cellStyle name="Input 8 7 7" xfId="3279" xr:uid="{74E308DD-D15E-42E8-902E-341C2EE00B54}"/>
    <cellStyle name="Input 8 7 8" xfId="3635" xr:uid="{CAB49414-4248-46FC-ADAC-1855480BD1FF}"/>
    <cellStyle name="Input 8 8" xfId="904" xr:uid="{6D8C3D3E-ABDA-42FD-980D-04E4863EAFDC}"/>
    <cellStyle name="Input 8 8 2" xfId="1525" xr:uid="{FFBE9989-F799-4185-A7C7-981BA83BC686}"/>
    <cellStyle name="Input 8 8 3" xfId="1916" xr:uid="{CCBBE792-04AF-47DD-B71D-18B63AF56534}"/>
    <cellStyle name="Input 8 8 4" xfId="2302" xr:uid="{BB2A12EA-2E1F-429B-86AF-28A980DCC45D}"/>
    <cellStyle name="Input 8 8 5" xfId="2688" xr:uid="{214A6BD7-CC20-4D69-8553-07674062F455}"/>
    <cellStyle name="Input 8 8 6" xfId="3063" xr:uid="{6FE234C6-380E-4E4D-8E88-35CE02036BC0}"/>
    <cellStyle name="Input 8 8 7" xfId="3430" xr:uid="{58FB5EDA-5667-4C3F-BA8F-AF1E1AA08C50}"/>
    <cellStyle name="Input 8 8 8" xfId="3786" xr:uid="{F4D2CF53-A732-4430-8FC4-94C9692ACA85}"/>
    <cellStyle name="Input 8 9" xfId="1128" xr:uid="{4DA849FF-C441-42D8-98D6-A71D69690376}"/>
    <cellStyle name="Input 9" xfId="446" xr:uid="{BBC29C04-A74B-4307-8D9A-6DB2287F35B0}"/>
    <cellStyle name="Input 9 10" xfId="181" xr:uid="{5B68C0CC-5E50-4CC0-A06C-A78CB8C9E521}"/>
    <cellStyle name="Input 9 11" xfId="1086" xr:uid="{0B455624-B248-4834-8CC0-4BE41E2417E9}"/>
    <cellStyle name="Input 9 12" xfId="168" xr:uid="{3DA574E6-8E67-447F-A34B-420BF488A3BA}"/>
    <cellStyle name="Input 9 13" xfId="1195" xr:uid="{16BB2301-BAE2-41B1-9914-EB8FBBC314A4}"/>
    <cellStyle name="Input 9 14" xfId="2008" xr:uid="{085FEECC-A559-457E-8DF3-54C1EC00A88F}"/>
    <cellStyle name="Input 9 15" xfId="1012" xr:uid="{256A62A8-D6FB-422B-8380-592169D8CA09}"/>
    <cellStyle name="Input 9 2" xfId="767" xr:uid="{D4D75D72-40AC-4080-BF2F-F10C4279DA90}"/>
    <cellStyle name="Input 9 2 2" xfId="1390" xr:uid="{3F25C0D4-D7D9-49FB-9B33-FE5C5BACE036}"/>
    <cellStyle name="Input 9 2 3" xfId="1780" xr:uid="{9BF5AF8F-9360-4DAE-AB25-CAC7964D37CB}"/>
    <cellStyle name="Input 9 2 4" xfId="2167" xr:uid="{C0D23EFE-D2B7-4C35-AB5D-9B7EDE3225F5}"/>
    <cellStyle name="Input 9 2 5" xfId="2552" xr:uid="{25776775-E814-454E-9EFD-A2CF115E9BDA}"/>
    <cellStyle name="Input 9 2 6" xfId="2928" xr:uid="{722A0B79-81D1-4039-8D74-841C5030A5E5}"/>
    <cellStyle name="Input 9 2 7" xfId="3295" xr:uid="{2A7F780A-7024-42B6-A70F-730A1383455E}"/>
    <cellStyle name="Input 9 2 8" xfId="3651" xr:uid="{E45E884A-224D-45E2-9963-52F68D0A9206}"/>
    <cellStyle name="Input 9 3" xfId="865" xr:uid="{982AA1EC-9EB0-4276-B474-3AAE48BF6125}"/>
    <cellStyle name="Input 9 3 2" xfId="1487" xr:uid="{84FFF3AC-3261-4CDE-9DB5-C636303747F8}"/>
    <cellStyle name="Input 9 3 3" xfId="1877" xr:uid="{5E13C86A-3489-45EB-9343-18F1E0518D53}"/>
    <cellStyle name="Input 9 3 4" xfId="2264" xr:uid="{865AD37A-C6BD-4293-81C2-5E6609FBCBFF}"/>
    <cellStyle name="Input 9 3 5" xfId="2649" xr:uid="{77749723-5A87-4A2F-B4AD-8A84F4C5B4D7}"/>
    <cellStyle name="Input 9 3 6" xfId="3025" xr:uid="{736CDBCB-5CE3-417C-A7F7-81D1B0A819E5}"/>
    <cellStyle name="Input 9 3 7" xfId="3392" xr:uid="{7EDD2166-5160-46D5-B04D-476337DB10A8}"/>
    <cellStyle name="Input 9 3 8" xfId="3748" xr:uid="{C85C3D69-3FD0-4974-8BDF-09F26737C64A}"/>
    <cellStyle name="Input 9 4" xfId="341" xr:uid="{69AE101D-2EFB-4AE2-A6B1-59CA6E568F12}"/>
    <cellStyle name="Input 9 4 2" xfId="1061" xr:uid="{E5782132-9640-483D-BEB5-1BF68FD43937}"/>
    <cellStyle name="Input 9 4 3" xfId="1231" xr:uid="{9C4BC9D4-1849-4B19-A8BB-36BE91DB6CF0}"/>
    <cellStyle name="Input 9 4 4" xfId="1621" xr:uid="{BAC2BAC0-25E3-4F2C-907A-2B9032C2C35E}"/>
    <cellStyle name="Input 9 4 5" xfId="172" xr:uid="{086018B5-DA99-4727-B5F5-D12FD55C73A2}"/>
    <cellStyle name="Input 9 4 6" xfId="1094" xr:uid="{4AFD0119-363D-45BB-A682-4D5503F18F39}"/>
    <cellStyle name="Input 9 4 7" xfId="1122" xr:uid="{A700573B-1D01-4A56-847E-C593E0868EFB}"/>
    <cellStyle name="Input 9 4 8" xfId="1595" xr:uid="{AA2F6A57-C38D-4A50-87F4-757F92B8A428}"/>
    <cellStyle name="Input 9 5" xfId="918" xr:uid="{C0DBA604-4A09-4073-A7BD-88B3069E4470}"/>
    <cellStyle name="Input 9 5 2" xfId="1539" xr:uid="{C2F80386-84F5-42D4-A7D5-F43AEE022F1C}"/>
    <cellStyle name="Input 9 5 3" xfId="1930" xr:uid="{C095DA9E-B574-438C-BCE4-74FDEE094FFE}"/>
    <cellStyle name="Input 9 5 4" xfId="2316" xr:uid="{C82ED779-087C-4647-AE21-B62D066DB9A5}"/>
    <cellStyle name="Input 9 5 5" xfId="2702" xr:uid="{C7C8AC8A-CBB6-432A-BE2E-E6FBB237D0EC}"/>
    <cellStyle name="Input 9 5 6" xfId="3077" xr:uid="{7E7F9266-1D0A-4B20-AF4B-C248FAB8FFAB}"/>
    <cellStyle name="Input 9 5 7" xfId="3444" xr:uid="{E72993C7-FF3D-4604-9383-EDE75E34D9FF}"/>
    <cellStyle name="Input 9 5 8" xfId="3800" xr:uid="{755B7329-EB87-4197-A7E4-1DA3EB7595E2}"/>
    <cellStyle name="Input 9 6" xfId="942" xr:uid="{C8ED2D26-95FE-4476-8CEA-2EA092FD51DE}"/>
    <cellStyle name="Input 9 6 2" xfId="1563" xr:uid="{62391C2E-6408-45DC-9ECF-2E63AC19F517}"/>
    <cellStyle name="Input 9 6 3" xfId="1954" xr:uid="{86B68BD5-AC01-4E83-AF70-3A5D5D640623}"/>
    <cellStyle name="Input 9 6 4" xfId="2340" xr:uid="{58D774C6-8B76-4332-9636-E62EAC719F30}"/>
    <cellStyle name="Input 9 6 5" xfId="2726" xr:uid="{D04FB8F7-E91D-44FF-9D04-367CD63C9724}"/>
    <cellStyle name="Input 9 6 6" xfId="3101" xr:uid="{4F063F0D-D9C9-40A2-B15A-90E82B7AAE0C}"/>
    <cellStyle name="Input 9 6 7" xfId="3468" xr:uid="{7E81F323-5DD5-4157-9FE1-C1B8314DB071}"/>
    <cellStyle name="Input 9 6 8" xfId="3823" xr:uid="{C48A1026-07A6-480B-8DE8-97AB4D52C038}"/>
    <cellStyle name="Input 9 7" xfId="705" xr:uid="{1D6A5A2F-8BA8-4635-9620-1CA5F8867555}"/>
    <cellStyle name="Input 9 7 2" xfId="1328" xr:uid="{8FD3EFDB-07F2-49DE-BDA9-D79A78CFB7DB}"/>
    <cellStyle name="Input 9 7 3" xfId="1719" xr:uid="{B6C19F4A-629F-4C9B-B07F-0CB6D97E70BD}"/>
    <cellStyle name="Input 9 7 4" xfId="2105" xr:uid="{C9FEF3AA-3E02-4805-8BA2-2A44B13E967F}"/>
    <cellStyle name="Input 9 7 5" xfId="2491" xr:uid="{90CC2AA1-4DA1-4BF5-80DC-9282141DC0C2}"/>
    <cellStyle name="Input 9 7 6" xfId="2867" xr:uid="{898D627A-1E7C-4808-BE0A-39B91FD944AD}"/>
    <cellStyle name="Input 9 7 7" xfId="3234" xr:uid="{721572EA-5587-45F3-8E3D-B34C0D6DE86B}"/>
    <cellStyle name="Input 9 7 8" xfId="3590" xr:uid="{9D04A954-9C11-4EDC-B37F-5B801B005570}"/>
    <cellStyle name="Input 9 8" xfId="644" xr:uid="{00AB1B27-6355-46C9-8886-18830B826655}"/>
    <cellStyle name="Input 9 8 2" xfId="1268" xr:uid="{6DDE173B-D40B-4019-A2C7-F4C4321616DD}"/>
    <cellStyle name="Input 9 8 3" xfId="1659" xr:uid="{1861DDD0-4AB1-45E3-81C4-8A16159C8D40}"/>
    <cellStyle name="Input 9 8 4" xfId="2045" xr:uid="{3FC0D8B6-D1CF-4779-AB30-9CD534B2D407}"/>
    <cellStyle name="Input 9 8 5" xfId="2431" xr:uid="{B7790D6B-E5B8-425C-8D15-0045D30D482E}"/>
    <cellStyle name="Input 9 8 6" xfId="2807" xr:uid="{A9E7C251-A380-479A-ACEE-E2422EC40906}"/>
    <cellStyle name="Input 9 8 7" xfId="3174" xr:uid="{3A247BE8-FD64-4578-A060-9ACA453B49EE}"/>
    <cellStyle name="Input 9 8 8" xfId="3530" xr:uid="{D843B93E-BE0E-4878-81B5-E4BB0123B775}"/>
    <cellStyle name="Input 9 9" xfId="1138" xr:uid="{03BFF00E-2D9B-45A3-A738-2C2F0470E0FA}"/>
    <cellStyle name="Input#" xfId="75" xr:uid="{00000000-0005-0000-0000-00004C000000}"/>
    <cellStyle name="Input# 2" xfId="374" xr:uid="{9392DD73-7230-4757-A2E0-D3436CF188D5}"/>
    <cellStyle name="Input# 3" xfId="311" xr:uid="{6D09B254-1A6D-4C6A-BDEE-F82F8F2CCBC6}"/>
    <cellStyle name="Input#.##" xfId="76" xr:uid="{00000000-0005-0000-0000-00004D000000}"/>
    <cellStyle name="Input#.## 2" xfId="405" xr:uid="{92D5F295-D429-4BD0-995F-8697EC1063D4}"/>
    <cellStyle name="Input#.## 3" xfId="312" xr:uid="{01240F98-3E0E-466E-9B89-66E12AF97732}"/>
    <cellStyle name="Input#.##_Forecast PREFU20" xfId="596" xr:uid="{18159D86-0F38-4185-BB4D-D0E08AEE43C7}"/>
    <cellStyle name="Input#_Forecast PREFU20" xfId="595" xr:uid="{F8FBE6E3-25C4-48F4-B344-88D6DD5FCA95}"/>
    <cellStyle name="Input$" xfId="77" xr:uid="{00000000-0005-0000-0000-00004E000000}"/>
    <cellStyle name="Input$#" xfId="78" xr:uid="{00000000-0005-0000-0000-00004F000000}"/>
    <cellStyle name="Input$# 2" xfId="421" xr:uid="{ED4BEF9C-B23B-4166-8FFE-AB73AE8C4EE5}"/>
    <cellStyle name="Input$# 3" xfId="313" xr:uid="{4A8B55EA-0394-4695-AD04-4A6FFF1E78A2}"/>
    <cellStyle name="Input$#.##" xfId="79" xr:uid="{00000000-0005-0000-0000-000050000000}"/>
    <cellStyle name="Input$#.## 2" xfId="422" xr:uid="{8C30530B-055E-4CE4-A986-EF9263C81ABA}"/>
    <cellStyle name="Input$#.## 3" xfId="314" xr:uid="{55AB1064-0875-4009-9FEF-922098377F14}"/>
    <cellStyle name="Input$#.##_Forecast PREFU20" xfId="598" xr:uid="{67B09F56-0A4A-4AC7-82DE-C996343A00DF}"/>
    <cellStyle name="Input$#_Forecast PREFU20" xfId="597" xr:uid="{1E5336A8-B0CA-48A6-BD6E-6667F078538E}"/>
    <cellStyle name="Input$m" xfId="80" xr:uid="{00000000-0005-0000-0000-000051000000}"/>
    <cellStyle name="Input$m 2" xfId="406" xr:uid="{95D430AA-58FE-4FDC-81DA-75912B76D3FC}"/>
    <cellStyle name="Input$m 3" xfId="315" xr:uid="{03F37AE2-745D-4B89-A252-571502F0F348}"/>
    <cellStyle name="Input$m_Forecast PREFU20" xfId="599" xr:uid="{E54EA6BF-44EF-4E67-8FF4-FC31BB4309BE}"/>
    <cellStyle name="Input%" xfId="81" xr:uid="{00000000-0005-0000-0000-000052000000}"/>
    <cellStyle name="Input% 2" xfId="407" xr:uid="{9F286F49-5CA5-4B35-9149-F4BE4AA5111D}"/>
    <cellStyle name="Input% 3" xfId="316" xr:uid="{2131A892-08D5-4BC6-9E72-26E02EEC9B64}"/>
    <cellStyle name="Input%_Forecast PREFU20" xfId="600" xr:uid="{6883C74F-00CF-4C26-8BC1-C6ACA5822639}"/>
    <cellStyle name="InputDate" xfId="82" xr:uid="{00000000-0005-0000-0000-000053000000}"/>
    <cellStyle name="InputDate 2" xfId="408" xr:uid="{A5CE9295-59CD-49FA-836F-41BDFB3D5C77}"/>
    <cellStyle name="InputDate 3" xfId="317" xr:uid="{5AF31703-AB0D-4B88-8C3B-9AD1D6B08921}"/>
    <cellStyle name="InputDate_Forecast PREFU20" xfId="601" xr:uid="{682CA9A4-AF48-4AFD-8951-D5ABDB509BF8}"/>
    <cellStyle name="InputText" xfId="83" xr:uid="{00000000-0005-0000-0000-000054000000}"/>
    <cellStyle name="InputText 2" xfId="409" xr:uid="{1A6C5AC3-3F57-4BED-9BDF-114BD7136671}"/>
    <cellStyle name="InputText 3" xfId="318" xr:uid="{4BF5D637-FB9C-46A4-8474-0D9188677428}"/>
    <cellStyle name="InputText_Forecast PREFU20" xfId="602" xr:uid="{9AC75336-7449-4ED1-8D3E-65D551CD65D2}"/>
    <cellStyle name="Linked Cell 2" xfId="84" xr:uid="{00000000-0005-0000-0000-000055000000}"/>
    <cellStyle name="mmm" xfId="197" xr:uid="{D61DB48F-035D-4BCE-B91F-1AC1A504E214}"/>
    <cellStyle name="mmr hdr 0" xfId="198" xr:uid="{A5FAD9F3-EEBF-4CE7-BF4D-3AAA1F57821C}"/>
    <cellStyle name="Month" xfId="199" xr:uid="{12D67280-91FA-4768-9EA7-05B834E45F8E}"/>
    <cellStyle name="Month 2" xfId="248" xr:uid="{21C0AB67-B4FB-4726-A9C9-CE544BF7C516}"/>
    <cellStyle name="Month 3" xfId="249" xr:uid="{E3F7C2A7-4704-4136-8CD9-CFBFE873D99F}"/>
    <cellStyle name="NamedRange" xfId="85" xr:uid="{00000000-0005-0000-0000-000056000000}"/>
    <cellStyle name="NamedRange 2" xfId="410" xr:uid="{67385CB7-CCE2-43BD-AA22-7B39DDD55B7B}"/>
    <cellStyle name="NamedRange 3" xfId="319" xr:uid="{C4EA3803-A27D-4143-8BF8-C91838BC5096}"/>
    <cellStyle name="NamedRange_Forecast PREFU20" xfId="603" xr:uid="{2B386DEC-9323-4489-913F-5A2D7558D88C}"/>
    <cellStyle name="Neutral 2" xfId="86" xr:uid="{00000000-0005-0000-0000-000057000000}"/>
    <cellStyle name="Neutral 2 2" xfId="353" xr:uid="{81FFCE52-F859-424A-87C9-7609182885C3}"/>
    <cellStyle name="Neutral 3" xfId="381" xr:uid="{4FB5A574-B5F2-4AA6-9FC1-F59365E2E327}"/>
    <cellStyle name="Non Ben" xfId="360" xr:uid="{F245DA63-8B42-4E8B-ACBE-1B63524BCF1A}"/>
    <cellStyle name="Non Ben 2" xfId="711" xr:uid="{B10B29AD-786D-4180-AFBD-6CD694119EB8}"/>
    <cellStyle name="Non Ben 2 2" xfId="1334" xr:uid="{789F90DF-9813-4D57-97BD-A2F1915E6D69}"/>
    <cellStyle name="Non Ben 2 3" xfId="1725" xr:uid="{34E9D6F4-55EF-458A-AC71-1E61C69F916A}"/>
    <cellStyle name="Non Ben 2 4" xfId="2111" xr:uid="{9B0406AF-7970-4E9A-98E0-26684D1F99FA}"/>
    <cellStyle name="Non Ben 2 5" xfId="2497" xr:uid="{5DE4A79F-A55D-493D-B502-5C03F4E17016}"/>
    <cellStyle name="Non Ben 2 6" xfId="2873" xr:uid="{DD798E4F-575F-491B-A327-8B91512AE2AC}"/>
    <cellStyle name="Non Ben 2 7" xfId="3240" xr:uid="{E8260E92-6C90-421E-9F9D-E3418CD39C1F}"/>
    <cellStyle name="Non Ben 2 8" xfId="3596" xr:uid="{52DE0189-6D0A-46EE-B665-4CEA500AA39A}"/>
    <cellStyle name="Non Ben 3" xfId="335" xr:uid="{69328F53-A13A-4E01-8009-4B488A6B1ACD}"/>
    <cellStyle name="Non Ben 3 2" xfId="1055" xr:uid="{0485ABC4-FB5F-45F9-929B-B1CC09166ACF}"/>
    <cellStyle name="Non Ben 3 3" xfId="142" xr:uid="{F5A66FCE-CCAF-4709-BE52-A8D7CBD1853F}"/>
    <cellStyle name="Non Ben 3 4" xfId="1179" xr:uid="{CDBDF8A5-5C89-446B-A147-A79E26F770FC}"/>
    <cellStyle name="Non Ben 3 5" xfId="175" xr:uid="{D4335C3A-5612-4483-A00A-0CF061F054CF}"/>
    <cellStyle name="Non Ben 3 6" xfId="1230" xr:uid="{4CE04A8C-D39E-4682-B387-B9C41D87B766}"/>
    <cellStyle name="Non Ben 3 7" xfId="1229" xr:uid="{0BF15A56-33AF-49F2-B410-13FE2DC5A746}"/>
    <cellStyle name="Non Ben 3 8" xfId="1989" xr:uid="{09019B1F-8F46-494E-9927-CDA646E7B47D}"/>
    <cellStyle name="Non Ben 4" xfId="901" xr:uid="{768CA16F-561E-418C-97C8-BD3DA5C5A046}"/>
    <cellStyle name="Non Ben 4 2" xfId="1522" xr:uid="{28E457C3-89A3-4847-ABAF-4AF66FBBC9B1}"/>
    <cellStyle name="Non Ben 4 3" xfId="1913" xr:uid="{179391B8-B04E-41E9-BB00-D4D8D318D333}"/>
    <cellStyle name="Non Ben 4 4" xfId="2299" xr:uid="{0219F13C-6AB4-4874-9414-E1731E3FBB0B}"/>
    <cellStyle name="Non Ben 4 5" xfId="2685" xr:uid="{2BEF9A12-7E5D-4106-86DF-1FC1B95CEB1A}"/>
    <cellStyle name="Non Ben 4 6" xfId="3060" xr:uid="{EB16BA0A-D9E1-4440-960B-59A8BC5B711A}"/>
    <cellStyle name="Non Ben 4 7" xfId="3427" xr:uid="{A9367BB8-6FFF-47DF-A14C-9220FB1D44F2}"/>
    <cellStyle name="Non Ben 4 8" xfId="3783" xr:uid="{31593770-9DA0-48C0-9DA3-257B5A54AF67}"/>
    <cellStyle name="Non Ben 5" xfId="905" xr:uid="{CFBA17FA-93E8-4141-9D53-2A40AC284F28}"/>
    <cellStyle name="Non Ben 5 2" xfId="1526" xr:uid="{A43E2AFD-0116-448A-8FBA-11B0A2E6B0BE}"/>
    <cellStyle name="Non Ben 5 3" xfId="1917" xr:uid="{4EAF6F92-A430-443B-AC68-F326CC5F5F59}"/>
    <cellStyle name="Non Ben 5 4" xfId="2303" xr:uid="{DCD5D1E1-5371-447F-BF0E-BDBA7C19B5E6}"/>
    <cellStyle name="Non Ben 5 5" xfId="2689" xr:uid="{898481B6-4E17-4A3D-A742-22C4CB39D74E}"/>
    <cellStyle name="Non Ben 5 6" xfId="3064" xr:uid="{E440B7F6-10B9-436B-85B6-3380294FCE67}"/>
    <cellStyle name="Non Ben 5 7" xfId="3431" xr:uid="{7F2F9309-DFB2-44B9-BE58-8944BA7A19AA}"/>
    <cellStyle name="Non Ben 5 8" xfId="3787" xr:uid="{03CC37D1-4334-4300-BC8A-501DBAD5185B}"/>
    <cellStyle name="Non Ben 6" xfId="870" xr:uid="{AD186218-9E89-4172-BF4C-303D57D6A6C8}"/>
    <cellStyle name="Non Ben 6 2" xfId="1492" xr:uid="{9E38EB8F-D5A4-4AF4-B0D5-91396EAF12DB}"/>
    <cellStyle name="Non Ben 6 3" xfId="1882" xr:uid="{A3DBF8DF-A20D-4D18-8455-B4712470932B}"/>
    <cellStyle name="Non Ben 6 4" xfId="2269" xr:uid="{AF0A53C3-B991-426A-9CD8-A05F527E6B05}"/>
    <cellStyle name="Non Ben 6 5" xfId="2654" xr:uid="{8347793C-C9D3-4383-8FA6-C48F552A4B3C}"/>
    <cellStyle name="Non Ben 6 6" xfId="3030" xr:uid="{41F96B2A-2EB5-4B59-A86E-F31162B7F11C}"/>
    <cellStyle name="Non Ben 6 7" xfId="3397" xr:uid="{7800F20B-B398-4A3B-B7AF-3C500A0F365D}"/>
    <cellStyle name="Non Ben 6 8" xfId="3753" xr:uid="{1AA319BD-E288-4772-931E-1AE6D137F946}"/>
    <cellStyle name="Non Ben 7" xfId="971" xr:uid="{1B0FC73E-76AF-4BEC-8183-F6A54EF1BA64}"/>
    <cellStyle name="Non Ben 7 2" xfId="1592" xr:uid="{2EE20C7C-ADEA-4598-861E-CAD284BF8BCF}"/>
    <cellStyle name="Non Ben 7 3" xfId="1983" xr:uid="{39EA5FF4-7327-44BD-80DA-4447A27D0B1A}"/>
    <cellStyle name="Non Ben 7 4" xfId="2369" xr:uid="{A0C47DE6-AAE0-4372-9166-EDD21E2B27AF}"/>
    <cellStyle name="Non Ben 7 5" xfId="2755" xr:uid="{656F51BB-001B-4519-9380-75EEDFD840C8}"/>
    <cellStyle name="Non Ben 7 6" xfId="3130" xr:uid="{737B9712-BF37-46D1-8C01-3106A9619FB6}"/>
    <cellStyle name="Non Ben 7 7" xfId="3497" xr:uid="{37C524BB-FC66-427D-BE9D-8C678674E03E}"/>
    <cellStyle name="Non Ben 7 8" xfId="3852" xr:uid="{59E78BA9-4D92-4F36-87B4-F0EAFBF8956D}"/>
    <cellStyle name="Non Ben 8" xfId="1017" xr:uid="{3BD04433-4925-406C-9F29-0D8405226205}"/>
    <cellStyle name="Non Ben 9" xfId="1986" xr:uid="{5EB6B7BC-D3E6-4C90-BED3-7852748B7396}"/>
    <cellStyle name="Normal" xfId="0" builtinId="0"/>
    <cellStyle name="Normal 10" xfId="224" xr:uid="{9A4F3EA0-2C85-4272-B419-E4248AB6B6C5}"/>
    <cellStyle name="Normal 11" xfId="200" xr:uid="{EBD92F73-4855-4B35-81F2-893F97B28F98}"/>
    <cellStyle name="Normal 12" xfId="228" xr:uid="{5C4098F1-9CCE-490D-8A13-B49A24AEF817}"/>
    <cellStyle name="Normal 13" xfId="229" xr:uid="{CCA4219C-AD42-44EB-B005-2743C4151D6F}"/>
    <cellStyle name="Normal 14" xfId="230" xr:uid="{B07FF70D-48DC-4FB4-8600-BE8EA97856FF}"/>
    <cellStyle name="Normal 15" xfId="232" xr:uid="{78E1ED42-C44F-4B10-83FC-E0C15F5604C7}"/>
    <cellStyle name="Normal 16" xfId="236" xr:uid="{A1E823EE-3292-4058-A684-BC960D7A88BF}"/>
    <cellStyle name="Normal 17" xfId="237" xr:uid="{71443262-70CA-414C-80B9-149C24BEB81E}"/>
    <cellStyle name="Normal 18" xfId="241" xr:uid="{0028F7BE-4939-48BC-80F5-8BA33E5F8311}"/>
    <cellStyle name="Normal 19" xfId="267" xr:uid="{0A476677-ADAB-47DF-836A-F187077A5DE7}"/>
    <cellStyle name="Normal 2" xfId="87" xr:uid="{00000000-0005-0000-0000-000059000000}"/>
    <cellStyle name="Normal 2 2" xfId="88" xr:uid="{00000000-0005-0000-0000-00005A000000}"/>
    <cellStyle name="Normal 2 2 2" xfId="371" xr:uid="{3DF85D5E-2F88-4693-9F10-DCDE7BC77305}"/>
    <cellStyle name="Normal 2 3" xfId="89" xr:uid="{00000000-0005-0000-0000-00005B000000}"/>
    <cellStyle name="Normal 2 3 2" xfId="213" xr:uid="{956592D2-8446-4433-9D28-06C52ADFAE37}"/>
    <cellStyle name="Normal 2_Forecast PREFU20" xfId="604" xr:uid="{88467004-66D7-40F5-AFC0-C5EC006CA60C}"/>
    <cellStyle name="Normal 20" xfId="269" xr:uid="{752AD3D1-8013-479B-8151-7B5E01E92ACB}"/>
    <cellStyle name="Normal 21" xfId="270" xr:uid="{170DD2E9-F8AE-4363-9B58-BAD68C3835A8}"/>
    <cellStyle name="Normal 22" xfId="272" xr:uid="{0BC4DFF7-245F-4B5B-AEE7-2D7BEB19DFE2}"/>
    <cellStyle name="Normal 23" xfId="273" xr:uid="{F481CDA2-5D34-489D-AC8B-98C55A6F9A6F}"/>
    <cellStyle name="Normal 24" xfId="276" xr:uid="{62529D02-F6C9-4AAE-ACF1-1CBD570666AD}"/>
    <cellStyle name="Normal 25" xfId="278" xr:uid="{98952DC2-05BA-4603-A8D9-EAADE5946F4A}"/>
    <cellStyle name="Normal 26" xfId="90" xr:uid="{00000000-0005-0000-0000-00005C000000}"/>
    <cellStyle name="Normal 27" xfId="283" xr:uid="{389D17BA-9B26-4877-8029-C73ADE9EB607}"/>
    <cellStyle name="Normal 28" xfId="284" xr:uid="{F15B33F0-78E0-42C0-8419-AE7FC24232BC}"/>
    <cellStyle name="Normal 29" xfId="285" xr:uid="{D8AFBC74-507D-4984-9D89-EE5A772ECA16}"/>
    <cellStyle name="Normal 3" xfId="91" xr:uid="{00000000-0005-0000-0000-00005D000000}"/>
    <cellStyle name="Normal 3 2" xfId="92" xr:uid="{00000000-0005-0000-0000-00005E000000}"/>
    <cellStyle name="Normal 3_Forecast PREFU20" xfId="605" xr:uid="{48C6C27C-AF6A-4581-BE44-DE60E0090D45}"/>
    <cellStyle name="Normal 30" xfId="286" xr:uid="{4404FA2A-6860-4438-A4DF-A80F1BA0A5D9}"/>
    <cellStyle name="Normal 31" xfId="287" xr:uid="{4B0BD1A4-A56B-4DDE-B6FA-79648FD35E86}"/>
    <cellStyle name="Normal 32" xfId="288" xr:uid="{14F4A96D-54D8-4A29-B9EA-AEE9018DBF29}"/>
    <cellStyle name="Normal 32 2 3" xfId="3856" xr:uid="{938B5163-C593-4145-AA48-70F45BF82234}"/>
    <cellStyle name="Normal 33" xfId="289" xr:uid="{EF10654E-C84B-4427-A92E-ABF235C196FC}"/>
    <cellStyle name="Normal 34" xfId="331" xr:uid="{CAE962DE-D803-4062-BB3B-20E51B72C15D}"/>
    <cellStyle name="Normal 35" xfId="93" xr:uid="{00000000-0005-0000-0000-00005F000000}"/>
    <cellStyle name="Normal 36" xfId="173" xr:uid="{86410864-7783-4FA0-97A4-67B912DB08D1}"/>
    <cellStyle name="Normal 37" xfId="1013" xr:uid="{39FD98FA-76DF-4735-9DB5-236B8CB9348A}"/>
    <cellStyle name="Normal 38" xfId="1237" xr:uid="{B6BF0D1D-F2DD-4F75-91CE-75A8BC842921}"/>
    <cellStyle name="Normal 39" xfId="1629" xr:uid="{73A2EB8E-AD87-4213-9623-62796029812D}"/>
    <cellStyle name="Normal 4" xfId="94" xr:uid="{00000000-0005-0000-0000-000060000000}"/>
    <cellStyle name="Normal 4 2" xfId="95" xr:uid="{00000000-0005-0000-0000-000061000000}"/>
    <cellStyle name="Normal 4 3" xfId="214" xr:uid="{CC4FF365-AA45-402D-A02D-BA6601DFDA23}"/>
    <cellStyle name="Normal 40" xfId="2015" xr:uid="{CB21EF03-C276-46AC-8914-A66183BC9785}"/>
    <cellStyle name="Normal 41" xfId="136" xr:uid="{8A046A52-DF2C-4420-AB3A-1667A0F550EE}"/>
    <cellStyle name="Normal 42" xfId="2779" xr:uid="{02756665-54AB-408B-91FD-A6572692B2A4}"/>
    <cellStyle name="Normal 5" xfId="96" xr:uid="{00000000-0005-0000-0000-000062000000}"/>
    <cellStyle name="Normal 5 2" xfId="215" xr:uid="{850E9DDC-FE75-4A75-97C7-BD373816E73B}"/>
    <cellStyle name="Normal 6" xfId="97" xr:uid="{00000000-0005-0000-0000-000063000000}"/>
    <cellStyle name="Normal 6 2" xfId="216" xr:uid="{3735E0A3-2E65-488C-B28A-FF9C1C9EB0EA}"/>
    <cellStyle name="Normal 7" xfId="98" xr:uid="{00000000-0005-0000-0000-000064000000}"/>
    <cellStyle name="Normal 7 2" xfId="217" xr:uid="{18519F85-96F9-4E77-9541-3B1D01F7B1B4}"/>
    <cellStyle name="Normal 8" xfId="222" xr:uid="{10BAB400-85A2-467C-A3FA-A9F969566BD9}"/>
    <cellStyle name="Normal 9" xfId="223" xr:uid="{0716B563-F43E-4DFE-8FAD-3B90818C55E7}"/>
    <cellStyle name="Normal_Sheet1" xfId="99" xr:uid="{00000000-0005-0000-0000-000065000000}"/>
    <cellStyle name="Note 2" xfId="100" xr:uid="{00000000-0005-0000-0000-000067000000}"/>
    <cellStyle name="Note 2 10" xfId="182" xr:uid="{3885BE59-5D09-4670-BD59-75301CFB0F48}"/>
    <cellStyle name="Note 2 11" xfId="1132" xr:uid="{B21FAF57-EA53-4E18-A65C-F55C2D64B30E}"/>
    <cellStyle name="Note 2 12" xfId="1030" xr:uid="{5A7F2BEB-39F0-4CCB-AB79-547FC3BE3D30}"/>
    <cellStyle name="Note 2 13" xfId="1021" xr:uid="{576F53AD-4A19-46E7-88C5-E2FB442C9B20}"/>
    <cellStyle name="Note 2 14" xfId="170" xr:uid="{3C8476B8-3965-4C7E-872A-8291FE29F3A1}"/>
    <cellStyle name="Note 2 15" xfId="2390" xr:uid="{388FFA8A-DD2D-46F2-8BBB-B98E654536DB}"/>
    <cellStyle name="Note 2 16" xfId="1174" xr:uid="{187C01EA-C10D-4A4A-9AF2-E9B503856135}"/>
    <cellStyle name="Note 2 2" xfId="250" xr:uid="{5B57935D-14AA-412D-826E-941AA31B117B}"/>
    <cellStyle name="Note 2 2 2" xfId="1003" xr:uid="{1079116D-EB6F-4E7E-892B-B0EFFDE7FFAB}"/>
    <cellStyle name="Note 2 2 3" xfId="1008" xr:uid="{C0E3C96C-DFF6-418E-9082-A8EF61ABB4DE}"/>
    <cellStyle name="Note 2 2 4" xfId="1004" xr:uid="{B437511A-DF04-4DC0-9FD0-6C19D45A2CE7}"/>
    <cellStyle name="Note 2 2 5" xfId="1007" xr:uid="{73308835-CDE5-48DC-84A2-45C9460716CA}"/>
    <cellStyle name="Note 2 2 6" xfId="1175" xr:uid="{47B61F78-42A5-4AA7-935C-B034C6C5780E}"/>
    <cellStyle name="Note 2 2 7" xfId="1611" xr:uid="{3BFD4899-D6CD-4770-92C1-4DB1A5139EA2}"/>
    <cellStyle name="Note 2 2 8" xfId="1006" xr:uid="{76BFED57-0194-40E2-8A78-27EFBD4105DC}"/>
    <cellStyle name="Note 2 3" xfId="635" xr:uid="{86A7AED2-89C1-4BFF-8BFC-BFB4BE09F26A}"/>
    <cellStyle name="Note 2 3 2" xfId="1259" xr:uid="{5550C7A2-53E9-462C-AB35-A28133D7C0B5}"/>
    <cellStyle name="Note 2 3 3" xfId="1650" xr:uid="{F00BA28A-316C-45A1-9A29-4CBE9AB03AE3}"/>
    <cellStyle name="Note 2 3 4" xfId="2037" xr:uid="{0094AC8A-59FF-4756-A8D2-CE85946DDE11}"/>
    <cellStyle name="Note 2 3 5" xfId="2422" xr:uid="{CD776416-6A81-4FAA-9692-B0BF0B37F623}"/>
    <cellStyle name="Note 2 3 6" xfId="2799" xr:uid="{8ADAEE71-3557-4E7B-90F8-31644E003D34}"/>
    <cellStyle name="Note 2 3 7" xfId="3165" xr:uid="{1502B7D8-BBCB-4AA2-A89A-D4C3B8F82657}"/>
    <cellStyle name="Note 2 3 8" xfId="3522" xr:uid="{B379AA5E-F7E0-4B88-A718-5BED1F6E3375}"/>
    <cellStyle name="Note 2 4" xfId="826" xr:uid="{AFA0804A-EC3D-42B6-BBC1-D8C0EFE4DB6A}"/>
    <cellStyle name="Note 2 4 2" xfId="1448" xr:uid="{381BFC6C-B50F-4F0C-B78B-E2627CA7ABC0}"/>
    <cellStyle name="Note 2 4 3" xfId="1838" xr:uid="{FDB237B8-02BB-497B-AEB6-C03848DEF1E9}"/>
    <cellStyle name="Note 2 4 4" xfId="2225" xr:uid="{C9FCDA04-D7CC-4F5F-BBCD-2BB0B289DCAB}"/>
    <cellStyle name="Note 2 4 5" xfId="2610" xr:uid="{DB254893-B5B0-410B-AC30-AC0C1FA67F11}"/>
    <cellStyle name="Note 2 4 6" xfId="2986" xr:uid="{E527FFD7-385B-4F54-8B0F-3C18B232CCAA}"/>
    <cellStyle name="Note 2 4 7" xfId="3353" xr:uid="{68CC51FE-D15F-4541-9235-F8D2AC0D075F}"/>
    <cellStyle name="Note 2 4 8" xfId="3709" xr:uid="{159ED283-7D56-47E6-923D-02BF1D500986}"/>
    <cellStyle name="Note 2 5" xfId="661" xr:uid="{B9AA92E6-645D-402A-9C6E-E28CA5D76466}"/>
    <cellStyle name="Note 2 5 2" xfId="1285" xr:uid="{D9131739-E5A9-4AA2-9121-8E4B70CA8BFD}"/>
    <cellStyle name="Note 2 5 3" xfId="1676" xr:uid="{143F67B6-0DF2-4596-B4F7-9F5119A25D10}"/>
    <cellStyle name="Note 2 5 4" xfId="2062" xr:uid="{9573DD8C-B8D9-4525-8E1A-139F1CD2BBF7}"/>
    <cellStyle name="Note 2 5 5" xfId="2448" xr:uid="{34EF368D-29B1-4972-B274-451BD6E423BC}"/>
    <cellStyle name="Note 2 5 6" xfId="2824" xr:uid="{7D9F0411-9AB5-4716-B25C-0C6F447D039A}"/>
    <cellStyle name="Note 2 5 7" xfId="3191" xr:uid="{6E54D48D-DF04-4BDD-BF82-154C470F8A4B}"/>
    <cellStyle name="Note 2 5 8" xfId="3547" xr:uid="{98A32EFD-D15B-4249-8671-F73E0EBA3293}"/>
    <cellStyle name="Note 2 6" xfId="725" xr:uid="{0DEAC2DF-27DF-4BF6-90AA-550E381507F6}"/>
    <cellStyle name="Note 2 6 2" xfId="1348" xr:uid="{39F1E1B0-270F-479D-B43E-9E152646CFDC}"/>
    <cellStyle name="Note 2 6 3" xfId="1738" xr:uid="{100F910F-15C2-404D-A64F-F0EF90FBAEB7}"/>
    <cellStyle name="Note 2 6 4" xfId="2125" xr:uid="{D8B7CA48-B2D8-46BE-824E-AB91CE8B9455}"/>
    <cellStyle name="Note 2 6 5" xfId="2510" xr:uid="{6D7F9649-6F84-4381-A7F7-F68450868B3D}"/>
    <cellStyle name="Note 2 6 6" xfId="2886" xr:uid="{82DE5CDC-4E0B-41D4-9961-419913B9838B}"/>
    <cellStyle name="Note 2 6 7" xfId="3253" xr:uid="{146DD086-7D1D-41FA-A961-7B423ED5F3FB}"/>
    <cellStyle name="Note 2 6 8" xfId="3609" xr:uid="{1CC07EB5-16D1-4556-9B25-36801226EDA6}"/>
    <cellStyle name="Note 2 7" xfId="828" xr:uid="{8197F583-52F8-4E67-8BC1-638BFED11058}"/>
    <cellStyle name="Note 2 7 2" xfId="1450" xr:uid="{AA81B59E-4BC7-4E50-AC0A-DF2BCAF77676}"/>
    <cellStyle name="Note 2 7 3" xfId="1840" xr:uid="{07EBF8E7-02C9-4886-899D-A843052AC8AF}"/>
    <cellStyle name="Note 2 7 4" xfId="2227" xr:uid="{D8E8CF80-078F-4FAA-9559-81431D57A072}"/>
    <cellStyle name="Note 2 7 5" xfId="2612" xr:uid="{D74AA649-41E0-4F45-8B8B-5A2DBD302A3F}"/>
    <cellStyle name="Note 2 7 6" xfId="2988" xr:uid="{4C306616-6213-4E42-94CB-958AA8F8A80C}"/>
    <cellStyle name="Note 2 7 7" xfId="3355" xr:uid="{0464D4BF-A7EB-4762-B8E8-AC09C48F6853}"/>
    <cellStyle name="Note 2 7 8" xfId="3711" xr:uid="{353F9401-8E42-4A4D-B72B-B1874F9C84F9}"/>
    <cellStyle name="Note 2 8" xfId="829" xr:uid="{795B2EAD-9FBE-487E-BD94-B1A3DFA3DE3B}"/>
    <cellStyle name="Note 2 8 2" xfId="1451" xr:uid="{7283C26E-2808-4DE7-8AD2-81F719CF4516}"/>
    <cellStyle name="Note 2 8 3" xfId="1841" xr:uid="{DF66F3C1-21A7-4B0A-ADD2-061FCBEDF33C}"/>
    <cellStyle name="Note 2 8 4" xfId="2228" xr:uid="{32A5604F-1DAC-4A10-897E-9E34766FE1BC}"/>
    <cellStyle name="Note 2 8 5" xfId="2613" xr:uid="{CA0AE00D-46FA-4F1C-9F02-124B63743829}"/>
    <cellStyle name="Note 2 8 6" xfId="2989" xr:uid="{63665AD9-D37D-4BFC-9FFF-B3E2BAE5C2F3}"/>
    <cellStyle name="Note 2 8 7" xfId="3356" xr:uid="{5714ED34-84F8-4F53-9C49-F1C6ADB9847A}"/>
    <cellStyle name="Note 2 8 8" xfId="3712" xr:uid="{8414F09C-1E6F-4232-BEE0-2DCD405F4068}"/>
    <cellStyle name="Note 2 9" xfId="897" xr:uid="{69284CAB-AA4F-4984-A307-F3C601658BBB}"/>
    <cellStyle name="Note 2 9 2" xfId="1518" xr:uid="{0931B84E-E262-4CCF-8901-0373E5BCC84F}"/>
    <cellStyle name="Note 2 9 3" xfId="1909" xr:uid="{8036BC3A-FCF9-4883-BEFC-3C0C30666300}"/>
    <cellStyle name="Note 2 9 4" xfId="2295" xr:uid="{225246FC-53BC-407B-90B9-A2FD14D92AF3}"/>
    <cellStyle name="Note 2 9 5" xfId="2681" xr:uid="{D0C1E335-2F9C-4F0C-915D-01C53CFC8DBC}"/>
    <cellStyle name="Note 2 9 6" xfId="3056" xr:uid="{8E419254-ECB3-426A-AE37-E69A2597D4D7}"/>
    <cellStyle name="Note 2 9 7" xfId="3423" xr:uid="{8786B885-57D3-44F5-8FAB-B7EF339363F7}"/>
    <cellStyle name="Note 2 9 8" xfId="3779" xr:uid="{BC4B2F08-8E69-4C74-8795-6D8958BBFABA}"/>
    <cellStyle name="Note 3" xfId="101" xr:uid="{00000000-0005-0000-0000-000068000000}"/>
    <cellStyle name="Note 3 10" xfId="1093" xr:uid="{4D2E07C8-CAD8-499A-B4F9-BBB8518D3BE0}"/>
    <cellStyle name="Note 3 11" xfId="1089" xr:uid="{93077D54-B1CE-4327-9D4C-6D45D42312CC}"/>
    <cellStyle name="Note 3 12" xfId="144" xr:uid="{E6F6EFF0-6EB2-495E-A874-74F1B16BCA82}"/>
    <cellStyle name="Note 3 13" xfId="1217" xr:uid="{6E2A6A35-84C4-44B1-A4D1-5FFBA21B8A3E}"/>
    <cellStyle name="Note 3 14" xfId="1078" xr:uid="{E28D55C6-C0E1-4A42-B09B-1EDE45DD9612}"/>
    <cellStyle name="Note 3 15" xfId="984" xr:uid="{C5102830-209F-4EB7-8DC9-2FDD09C389EC}"/>
    <cellStyle name="Note 3 16" xfId="2005" xr:uid="{6FE9BFB4-D449-4E6B-B1A2-047E859219EA}"/>
    <cellStyle name="Note 3 2" xfId="730" xr:uid="{9E7C77F3-456E-4BDF-AFFD-3CAB07CBE47A}"/>
    <cellStyle name="Note 3 2 2" xfId="1353" xr:uid="{F678B68B-6A3F-4C5B-9CCF-D25F2123C36A}"/>
    <cellStyle name="Note 3 2 3" xfId="1743" xr:uid="{B60E5AD6-7C7C-4BCC-A975-E5748DD1FB27}"/>
    <cellStyle name="Note 3 2 4" xfId="2130" xr:uid="{0DE59FB2-FFA1-4B64-BF11-D0E445E02C1E}"/>
    <cellStyle name="Note 3 2 5" xfId="2515" xr:uid="{B34A6E53-D169-4EBA-9BF8-326B422154AE}"/>
    <cellStyle name="Note 3 2 6" xfId="2891" xr:uid="{98EE90EF-86BD-4198-B57F-4D2991740342}"/>
    <cellStyle name="Note 3 2 7" xfId="3258" xr:uid="{DE00C76B-C780-487A-8630-0E4185E3C600}"/>
    <cellStyle name="Note 3 2 8" xfId="3614" xr:uid="{9D71D41C-FB64-47D2-9EB8-CBD7FA75A139}"/>
    <cellStyle name="Note 3 3" xfId="871" xr:uid="{1B8B10F3-1BF6-4BE5-9F29-FA7B81A61AAC}"/>
    <cellStyle name="Note 3 3 2" xfId="1493" xr:uid="{DC11F90B-5031-42CC-A2F2-E515A7F2A102}"/>
    <cellStyle name="Note 3 3 3" xfId="1883" xr:uid="{F72651B8-8A40-4653-BCF0-761D1D064E61}"/>
    <cellStyle name="Note 3 3 4" xfId="2270" xr:uid="{2F1153EB-8D1F-4D4E-8523-D2947C72AC09}"/>
    <cellStyle name="Note 3 3 5" xfId="2655" xr:uid="{094D9371-9E27-4981-84CF-2D9D3E2F2516}"/>
    <cellStyle name="Note 3 3 6" xfId="3031" xr:uid="{5D104280-E6CC-4BDC-8C3B-469A24D3FE60}"/>
    <cellStyle name="Note 3 3 7" xfId="3398" xr:uid="{92C78DA1-F0BC-403E-B290-4CCFCD956C83}"/>
    <cellStyle name="Note 3 3 8" xfId="3754" xr:uid="{6854D5E6-1A75-4403-956B-DDCD809EC883}"/>
    <cellStyle name="Note 3 4" xfId="356" xr:uid="{7F0E9573-A410-4C4E-9F96-04278AAAD7A8}"/>
    <cellStyle name="Note 3 4 2" xfId="1071" xr:uid="{DC446C32-36AE-4004-A4E5-61A5AE037F46}"/>
    <cellStyle name="Note 3 4 3" xfId="1120" xr:uid="{357FD381-2D74-4693-BCF2-C37AE44D18BE}"/>
    <cellStyle name="Note 3 4 4" xfId="1108" xr:uid="{4E831FDB-747F-4998-B97F-5F93C3F90314}"/>
    <cellStyle name="Note 3 4 5" xfId="1047" xr:uid="{48A7CF3F-1AF4-426E-91B0-73A0DFA1F000}"/>
    <cellStyle name="Note 3 4 6" xfId="1048" xr:uid="{013897EA-AC73-4EA5-B807-A7E99D009AF1}"/>
    <cellStyle name="Note 3 4 7" xfId="160" xr:uid="{D3F58548-6762-43B9-B714-C90652729D62}"/>
    <cellStyle name="Note 3 4 8" xfId="1009" xr:uid="{1D9AB2AB-5559-417B-B8EC-16E14A102CC4}"/>
    <cellStyle name="Note 3 5" xfId="924" xr:uid="{5BBC9836-9B2A-4286-84E4-8104DC5EAFC9}"/>
    <cellStyle name="Note 3 5 2" xfId="1545" xr:uid="{A5E08BED-C792-4950-AD90-3B2F31FB047A}"/>
    <cellStyle name="Note 3 5 3" xfId="1936" xr:uid="{241B6712-F823-44A0-8800-AC8F651F027A}"/>
    <cellStyle name="Note 3 5 4" xfId="2322" xr:uid="{06BA75D3-7088-44DC-970A-1001C32A70B7}"/>
    <cellStyle name="Note 3 5 5" xfId="2708" xr:uid="{D3514B6A-399D-4929-B5CC-3BD515E0C0CD}"/>
    <cellStyle name="Note 3 5 6" xfId="3083" xr:uid="{460FB96C-8AF3-44DA-89EA-82213146D3D1}"/>
    <cellStyle name="Note 3 5 7" xfId="3450" xr:uid="{CBC681FC-573E-4054-9A57-23D686F874A5}"/>
    <cellStyle name="Note 3 5 8" xfId="3805" xr:uid="{599B4509-6A2C-4CBC-9843-899C73D54C76}"/>
    <cellStyle name="Note 3 6" xfId="946" xr:uid="{CEF8177A-6F36-4354-89A1-E9161A50AC64}"/>
    <cellStyle name="Note 3 6 2" xfId="1567" xr:uid="{E0B1DAA5-91C7-4DBD-8C2D-4432B56BFB6A}"/>
    <cellStyle name="Note 3 6 3" xfId="1958" xr:uid="{CDA707D0-2889-4462-9D01-93D7AD1AB820}"/>
    <cellStyle name="Note 3 6 4" xfId="2344" xr:uid="{4F1F46A0-7D9F-4CB9-9E9B-572484BAE44E}"/>
    <cellStyle name="Note 3 6 5" xfId="2730" xr:uid="{FA0D4A98-92B9-4A03-83E4-DE6F71B57646}"/>
    <cellStyle name="Note 3 6 6" xfId="3105" xr:uid="{7791B34E-BCB0-4FEC-A3F7-0E9DB6DA5B25}"/>
    <cellStyle name="Note 3 6 7" xfId="3472" xr:uid="{2162A630-FD11-47D9-B187-97A0878F766A}"/>
    <cellStyle name="Note 3 6 8" xfId="3827" xr:uid="{D7521732-E87A-4D80-A9B1-B13C29512C64}"/>
    <cellStyle name="Note 3 7" xfId="929" xr:uid="{64E5859B-79C1-40DC-A250-1CADB6C1B49B}"/>
    <cellStyle name="Note 3 7 2" xfId="1550" xr:uid="{EA96F44C-966C-4B23-B66A-A9A071F1BCBB}"/>
    <cellStyle name="Note 3 7 3" xfId="1941" xr:uid="{D4E5F696-FE0E-4B0E-A220-1AE7C8ABB392}"/>
    <cellStyle name="Note 3 7 4" xfId="2327" xr:uid="{93EAE693-FC04-487B-A6D8-BA1B8EA0EDFD}"/>
    <cellStyle name="Note 3 7 5" xfId="2713" xr:uid="{133B143B-09EF-40B3-931D-EDCFC2C2E5D0}"/>
    <cellStyle name="Note 3 7 6" xfId="3088" xr:uid="{68B99053-57B9-48A2-8905-949A10DBB500}"/>
    <cellStyle name="Note 3 7 7" xfId="3455" xr:uid="{5C418E90-18A8-4726-BD95-7D33DB055534}"/>
    <cellStyle name="Note 3 7 8" xfId="3810" xr:uid="{658A7942-57A1-4AB9-8468-5F437DC18DC7}"/>
    <cellStyle name="Note 3 8" xfId="824" xr:uid="{3DDAC6F8-9628-4508-8092-F7BB5AE3EABA}"/>
    <cellStyle name="Note 3 8 2" xfId="1446" xr:uid="{EF72E32B-5EB8-4C29-AD4A-B2D15CC19D93}"/>
    <cellStyle name="Note 3 8 3" xfId="1836" xr:uid="{ADBB07BF-15D0-4078-9327-96E83DE8BC64}"/>
    <cellStyle name="Note 3 8 4" xfId="2223" xr:uid="{8A657DAA-D413-41C9-8050-894119EF8C28}"/>
    <cellStyle name="Note 3 8 5" xfId="2608" xr:uid="{9623F29B-4EB7-4BBB-99E2-D1C415F8CFA0}"/>
    <cellStyle name="Note 3 8 6" xfId="2984" xr:uid="{1688804E-8C05-431E-9E87-1175BDE6C815}"/>
    <cellStyle name="Note 3 8 7" xfId="3351" xr:uid="{5977EC1B-96FF-43C5-8E14-92E6998A1634}"/>
    <cellStyle name="Note 3 8 8" xfId="3707" xr:uid="{3BDBF750-46CC-4CBD-92E4-38F754AC8B6E}"/>
    <cellStyle name="Note 3 9" xfId="384" xr:uid="{38165499-F714-4CC3-954D-90671D00BF2A}"/>
    <cellStyle name="Note 4" xfId="386" xr:uid="{36C54BE0-6515-4560-9C4C-D0798CCDD573}"/>
    <cellStyle name="Note 4 10" xfId="143" xr:uid="{40D2B648-4022-4F3D-9CD7-9E12E688F704}"/>
    <cellStyle name="Note 4 11" xfId="1182" xr:uid="{429148B9-63F1-4A46-A0C1-24A576EB7148}"/>
    <cellStyle name="Note 4 12" xfId="1228" xr:uid="{A7445A6E-EAA0-4BC8-B4DB-6151A014C53F}"/>
    <cellStyle name="Note 4 13" xfId="139" xr:uid="{AF2EC0C2-3167-4F4D-A144-9972E13ACFC6}"/>
    <cellStyle name="Note 4 14" xfId="2391" xr:uid="{68A7965C-9927-4DC7-83A0-C512F16286B5}"/>
    <cellStyle name="Note 4 15" xfId="147" xr:uid="{F9F47171-5F5D-4EF3-950B-93833203C4F6}"/>
    <cellStyle name="Note 4 2" xfId="732" xr:uid="{E22CD095-39F8-47A4-81F5-9536BEA1DD14}"/>
    <cellStyle name="Note 4 2 2" xfId="1355" xr:uid="{5A9AFBE4-606C-4035-819F-EDF4E4EA919F}"/>
    <cellStyle name="Note 4 2 3" xfId="1745" xr:uid="{642BD11F-93FB-493F-9B78-DE2F4D2B37EA}"/>
    <cellStyle name="Note 4 2 4" xfId="2132" xr:uid="{B8C75632-6A32-4AF0-98C5-F0F5CD013B51}"/>
    <cellStyle name="Note 4 2 5" xfId="2517" xr:uid="{106F71C6-7ED4-46D0-84FE-F19C41C4CFCD}"/>
    <cellStyle name="Note 4 2 6" xfId="2893" xr:uid="{1A6CEB42-15AB-45FA-80D4-C5F82F482A52}"/>
    <cellStyle name="Note 4 2 7" xfId="3260" xr:uid="{12390BB8-3AD0-4685-A26B-B06D62E2EDEF}"/>
    <cellStyle name="Note 4 2 8" xfId="3616" xr:uid="{397A0A9D-7936-44BC-9B08-6C7B4AE34BDD}"/>
    <cellStyle name="Note 4 3" xfId="634" xr:uid="{2B70E3EC-20FB-4C84-8E9A-F6ED77060BCF}"/>
    <cellStyle name="Note 4 3 2" xfId="1258" xr:uid="{1F7563C1-E96E-4EC9-AA72-1FA7D40215FA}"/>
    <cellStyle name="Note 4 3 3" xfId="1649" xr:uid="{875559FE-4E14-463C-A6D5-3AD1D4B354BF}"/>
    <cellStyle name="Note 4 3 4" xfId="2036" xr:uid="{66750B6D-6345-4B3E-B331-40BD5CEB0C02}"/>
    <cellStyle name="Note 4 3 5" xfId="2421" xr:uid="{6459324B-18EC-47E1-880E-084A864F1DF2}"/>
    <cellStyle name="Note 4 3 6" xfId="2798" xr:uid="{66AB0830-8916-4F71-9F0C-C61CB81D1054}"/>
    <cellStyle name="Note 4 3 7" xfId="3164" xr:uid="{1AEA3A84-90D3-466C-B3E0-0B4172F82059}"/>
    <cellStyle name="Note 4 3 8" xfId="3521" xr:uid="{7B1E19E2-BC3B-4C4E-98FA-8E411C9AE6EE}"/>
    <cellStyle name="Note 4 4" xfId="710" xr:uid="{4E7C7ADB-3EC9-48B4-B99D-28F37B40361F}"/>
    <cellStyle name="Note 4 4 2" xfId="1333" xr:uid="{6F37DDAD-B41F-4F4A-9E65-72CC2F8C48B0}"/>
    <cellStyle name="Note 4 4 3" xfId="1724" xr:uid="{48D9AB67-2911-4E2A-849C-50E8E8C17A33}"/>
    <cellStyle name="Note 4 4 4" xfId="2110" xr:uid="{13C8AA75-F8CF-4270-81C8-11D80F36A704}"/>
    <cellStyle name="Note 4 4 5" xfId="2496" xr:uid="{E9D165B4-F806-4AF7-8C92-BEC42D43CBAF}"/>
    <cellStyle name="Note 4 4 6" xfId="2872" xr:uid="{9B315D5B-627A-4AFB-8891-147C25463A16}"/>
    <cellStyle name="Note 4 4 7" xfId="3239" xr:uid="{5FF6D8F6-2C34-4321-A885-E5302D051E50}"/>
    <cellStyle name="Note 4 4 8" xfId="3595" xr:uid="{9BECC54D-1C5E-475E-BF12-F10A7EC435ED}"/>
    <cellStyle name="Note 4 5" xfId="370" xr:uid="{330204C2-80B6-4D7C-AC00-813D2A617BD1}"/>
    <cellStyle name="Note 4 5 2" xfId="1083" xr:uid="{9954CEFD-8E1B-4B04-9D3A-02521D6523BE}"/>
    <cellStyle name="Note 4 5 3" xfId="1540" xr:uid="{27D8EAE9-D244-4F93-B00E-0683801571C4}"/>
    <cellStyle name="Note 4 5 4" xfId="1931" xr:uid="{E42E37D8-3C76-478C-A2E9-728D358ADBE8}"/>
    <cellStyle name="Note 4 5 5" xfId="137" xr:uid="{28642E8B-07AC-4532-8364-5B48586FF28A}"/>
    <cellStyle name="Note 4 5 6" xfId="2703" xr:uid="{0EE27BF0-A0D5-4640-BFFC-99BBF819D660}"/>
    <cellStyle name="Note 4 5 7" xfId="1173" xr:uid="{343DFF8C-5ADA-4229-9D6C-3195FC8D1597}"/>
    <cellStyle name="Note 4 5 8" xfId="3445" xr:uid="{6C772D79-2FEF-4F15-8F26-F69C744ACCFF}"/>
    <cellStyle name="Note 4 6" xfId="660" xr:uid="{6648F023-9517-4707-9102-89488ED63A41}"/>
    <cellStyle name="Note 4 6 2" xfId="1284" xr:uid="{1029EA20-96DB-404F-9645-C8E96A5C255E}"/>
    <cellStyle name="Note 4 6 3" xfId="1675" xr:uid="{A2DAEDDE-0237-429D-B839-AD1AC1DF1FA5}"/>
    <cellStyle name="Note 4 6 4" xfId="2061" xr:uid="{1E422936-D31B-40FB-80AF-DA941047D239}"/>
    <cellStyle name="Note 4 6 5" xfId="2447" xr:uid="{0B5DFAEB-1927-4343-9BB5-F65F6AD35619}"/>
    <cellStyle name="Note 4 6 6" xfId="2823" xr:uid="{3C3D770C-7E7F-4244-A7BA-95AD976133B0}"/>
    <cellStyle name="Note 4 6 7" xfId="3190" xr:uid="{1B0DA31F-18A5-49B7-A8B0-25C24ACF621D}"/>
    <cellStyle name="Note 4 6 8" xfId="3546" xr:uid="{43569EDE-E3AD-4F43-9C19-8E7626C12F42}"/>
    <cellStyle name="Note 4 7" xfId="622" xr:uid="{33781CE9-BFA1-42DE-9D93-9E1F204FF902}"/>
    <cellStyle name="Note 4 7 2" xfId="1246" xr:uid="{F053D739-B689-4684-AF9D-C3A78F109844}"/>
    <cellStyle name="Note 4 7 3" xfId="1637" xr:uid="{EFE104A5-B12A-474C-8009-BA4CF2D595F6}"/>
    <cellStyle name="Note 4 7 4" xfId="2024" xr:uid="{44BCE229-BFDF-4CB0-8E88-F6E461B3454F}"/>
    <cellStyle name="Note 4 7 5" xfId="2409" xr:uid="{7E436B38-1F05-4BC2-A023-960A2EB9682E}"/>
    <cellStyle name="Note 4 7 6" xfId="2786" xr:uid="{384C24E4-8624-4755-8DD7-D759D2C72D4A}"/>
    <cellStyle name="Note 4 7 7" xfId="3152" xr:uid="{F5505D4C-1743-41FC-931E-39C965C1861C}"/>
    <cellStyle name="Note 4 7 8" xfId="3509" xr:uid="{D34C31DC-FDFD-4433-9D9E-4F4B94137EC6}"/>
    <cellStyle name="Note 4 8" xfId="692" xr:uid="{45CD62A5-1F26-4F3F-AB83-E04140922FAF}"/>
    <cellStyle name="Note 4 8 2" xfId="1315" xr:uid="{DC5F8D0D-F7D1-443E-B99F-BDBA49BEFD8C}"/>
    <cellStyle name="Note 4 8 3" xfId="1706" xr:uid="{1441FC36-5516-4138-BA41-6685BA5187A6}"/>
    <cellStyle name="Note 4 8 4" xfId="2092" xr:uid="{654F27A8-A60E-4DBE-B126-AF3013C31138}"/>
    <cellStyle name="Note 4 8 5" xfId="2478" xr:uid="{3001E5B4-802B-4EE6-A06A-B0F3C3512A18}"/>
    <cellStyle name="Note 4 8 6" xfId="2854" xr:uid="{371ED095-4815-4D77-B14B-2F78E9AB6374}"/>
    <cellStyle name="Note 4 8 7" xfId="3221" xr:uid="{3C787CFB-C900-4A50-8780-5831AB3FC273}"/>
    <cellStyle name="Note 4 8 8" xfId="3577" xr:uid="{4CE590DB-93DD-4C16-8084-5764FBC9FD80}"/>
    <cellStyle name="Note 4 9" xfId="1096" xr:uid="{7C7D9FA1-AEBB-4376-8FCB-7DB1F49D33CC}"/>
    <cellStyle name="Output 2" xfId="102" xr:uid="{00000000-0005-0000-0000-000069000000}"/>
    <cellStyle name="Output 2 2" xfId="704" xr:uid="{CD40E81F-F379-45D7-A868-5924FFEADF5E}"/>
    <cellStyle name="Output 2 2 2" xfId="1327" xr:uid="{89182021-F926-4A81-B951-CAE8AABF85A8}"/>
    <cellStyle name="Output 2 2 3" xfId="1718" xr:uid="{313F2BE8-FC06-425D-A876-2BAF832FDF6B}"/>
    <cellStyle name="Output 2 2 4" xfId="2104" xr:uid="{79D2B88E-7155-4630-84FC-1B7A1782E427}"/>
    <cellStyle name="Output 2 2 5" xfId="2490" xr:uid="{E84F18FF-F69F-41CE-A285-0602085EF80C}"/>
    <cellStyle name="Output 2 2 6" xfId="2866" xr:uid="{6C031695-B261-4D09-9CBC-F3474D372EB1}"/>
    <cellStyle name="Output 2 2 7" xfId="3233" xr:uid="{B8D80F0D-DCAD-4CDA-A6D1-0DF611BF45B1}"/>
    <cellStyle name="Output 2 2 8" xfId="3589" xr:uid="{1FB20190-5157-45BD-A30D-D98FE0579AB5}"/>
    <cellStyle name="Output 2 3" xfId="715" xr:uid="{0A4611AC-8082-4B67-9967-D71BBD8A0901}"/>
    <cellStyle name="Output 2 3 2" xfId="1338" xr:uid="{BC4E8B2C-4CD4-42AA-BF52-F16E7C4F228D}"/>
    <cellStyle name="Output 2 3 3" xfId="1729" xr:uid="{CDD57846-7AA6-4BF7-9D3A-76D8682AD2BB}"/>
    <cellStyle name="Output 2 3 4" xfId="2115" xr:uid="{D769B45B-BE3F-4FB1-ACF7-7D6F19FB943D}"/>
    <cellStyle name="Output 2 3 5" xfId="2501" xr:uid="{DD3652F3-2C71-4FE7-A30A-6A50DAB79C2B}"/>
    <cellStyle name="Output 2 3 6" xfId="2877" xr:uid="{381E1197-D514-48DC-BF92-7EF795901924}"/>
    <cellStyle name="Output 2 3 7" xfId="3244" xr:uid="{7C6E6FA6-BFFE-4F53-BA65-2A27B9FE4375}"/>
    <cellStyle name="Output 2 3 8" xfId="3600" xr:uid="{3FAB6A7D-F334-489B-BDBC-B550C7F12993}"/>
    <cellStyle name="Output 2 4" xfId="900" xr:uid="{A02A1EB4-4D7B-4B17-9976-1E93A37639C9}"/>
    <cellStyle name="Output 2 4 2" xfId="1521" xr:uid="{B1B5CFB0-1BEA-4B12-B256-7F6489376A7F}"/>
    <cellStyle name="Output 2 4 3" xfId="1912" xr:uid="{D362243C-1BEA-4360-9DEA-225AC0AF4C0F}"/>
    <cellStyle name="Output 2 4 4" xfId="2298" xr:uid="{4B8CE852-D3F9-4A51-9D90-99EEF09338ED}"/>
    <cellStyle name="Output 2 4 5" xfId="2684" xr:uid="{4B1B863C-8893-478E-BA1C-B89563606889}"/>
    <cellStyle name="Output 2 4 6" xfId="3059" xr:uid="{13791283-CD28-41CC-827F-0D2E49F8C38B}"/>
    <cellStyle name="Output 2 4 7" xfId="3426" xr:uid="{6741811B-64DE-4515-B30E-19D7AE07F5EC}"/>
    <cellStyle name="Output 2 4 8" xfId="3782" xr:uid="{FFADDC5F-7C83-48B7-B57F-379B47E45878}"/>
    <cellStyle name="Output 2 5" xfId="846" xr:uid="{C998DAEC-5CC4-4C11-BA56-45F43E56A79D}"/>
    <cellStyle name="Output 2 5 2" xfId="1468" xr:uid="{E36252BA-CE15-4D0C-8142-E33B50AAEA81}"/>
    <cellStyle name="Output 2 5 3" xfId="1858" xr:uid="{4862642D-2DF3-479C-B62A-AA49E12711C6}"/>
    <cellStyle name="Output 2 5 4" xfId="2245" xr:uid="{22602A38-F5E1-4BD9-8660-DFB8F7D18E57}"/>
    <cellStyle name="Output 2 5 5" xfId="2630" xr:uid="{417DEF09-6FE8-490E-8730-2C69CFD03BFD}"/>
    <cellStyle name="Output 2 5 6" xfId="3006" xr:uid="{A93346AC-D26C-4D17-A0CA-6FD038B3F7FA}"/>
    <cellStyle name="Output 2 5 7" xfId="3373" xr:uid="{02CBE1F2-9BE9-4A66-8364-ED4CC7F46DBB}"/>
    <cellStyle name="Output 2 5 8" xfId="3729" xr:uid="{1987564B-3B4E-4AC2-8122-625525F60CBA}"/>
    <cellStyle name="Output 2 6" xfId="932" xr:uid="{4E1EB5AD-984E-4CE3-BF1A-1B00121A2BB2}"/>
    <cellStyle name="Output 2 6 2" xfId="1553" xr:uid="{CDA0C12E-2A30-4576-B939-C3B09844FD82}"/>
    <cellStyle name="Output 2 6 3" xfId="1944" xr:uid="{F92062C7-32A8-4421-A917-5C23DC456145}"/>
    <cellStyle name="Output 2 6 4" xfId="2330" xr:uid="{D69BE54E-8CF1-4A03-9DDC-FEA4F48D4F40}"/>
    <cellStyle name="Output 2 6 5" xfId="2716" xr:uid="{0DBBB06F-58BD-477A-B201-DDCA7151C1D3}"/>
    <cellStyle name="Output 2 6 6" xfId="3091" xr:uid="{05EB9C12-129D-4C26-8651-307FC7F3DC78}"/>
    <cellStyle name="Output 2 6 7" xfId="3458" xr:uid="{0C44052B-7E9E-4C37-8857-809BDE5E02AC}"/>
    <cellStyle name="Output 2 6 8" xfId="3813" xr:uid="{F6C481BC-616F-453E-84E5-23EE852F0FAD}"/>
    <cellStyle name="Output 2 7" xfId="179" xr:uid="{E3EC79B4-6756-4C73-91D4-0AC689A870B6}"/>
    <cellStyle name="Output 2 8" xfId="1049" xr:uid="{91F819BA-2C15-4F95-9071-DBCAF5CCDD90}"/>
    <cellStyle name="Output 3" xfId="383" xr:uid="{D78446CD-B0CB-4F2E-9184-45DCE238D3DF}"/>
    <cellStyle name="Output 3 10" xfId="1133" xr:uid="{C4445F19-99C1-455C-B5AC-D781B495FA94}"/>
    <cellStyle name="Output 3 11" xfId="1106" xr:uid="{3AA18AAC-9B04-456D-9AEE-46B830D11713}"/>
    <cellStyle name="Output 3 12" xfId="162" xr:uid="{6693B654-C653-46DF-A394-844581FA49C5}"/>
    <cellStyle name="Output 3 13" xfId="138" xr:uid="{7B110D12-E049-43B1-BC2B-CF025F5B6AF0}"/>
    <cellStyle name="Output 3 14" xfId="1997" xr:uid="{D9BC6FA5-033A-42FD-97BF-7DF766498869}"/>
    <cellStyle name="Output 3 15" xfId="1196" xr:uid="{49745F82-6C13-4785-BEEF-DA70644F0E69}"/>
    <cellStyle name="Output 3 2" xfId="729" xr:uid="{7D82D705-BB6C-4D47-ADDF-1A8B3FD0A846}"/>
    <cellStyle name="Output 3 2 2" xfId="1352" xr:uid="{41440FF3-BD62-4FA2-BF79-B35486F2406F}"/>
    <cellStyle name="Output 3 2 3" xfId="1742" xr:uid="{42278D7F-B0C6-40FC-9D03-7A5BACDE40BB}"/>
    <cellStyle name="Output 3 2 4" xfId="2129" xr:uid="{E22BBE4F-A593-4A23-8B02-9417D3408E98}"/>
    <cellStyle name="Output 3 2 5" xfId="2514" xr:uid="{A76C70AE-30F5-4EF6-8DF1-04728F7C9B2A}"/>
    <cellStyle name="Output 3 2 6" xfId="2890" xr:uid="{E94FAF7D-AF8A-49CB-88A0-32B02CAD298A}"/>
    <cellStyle name="Output 3 2 7" xfId="3257" xr:uid="{7EF8377A-5100-4380-91E1-14C67BC87B63}"/>
    <cellStyle name="Output 3 2 8" xfId="3613" xr:uid="{483DBEC8-96FA-4B94-91F7-7656C83644E2}"/>
    <cellStyle name="Output 3 3" xfId="703" xr:uid="{3194CFDB-3CDF-4F66-B229-9246ACAE1D5C}"/>
    <cellStyle name="Output 3 3 2" xfId="1326" xr:uid="{08161B00-4A13-442E-9455-95967E3AC61D}"/>
    <cellStyle name="Output 3 3 3" xfId="1717" xr:uid="{EF345021-630B-44E1-983C-F9EAC3C045B1}"/>
    <cellStyle name="Output 3 3 4" xfId="2103" xr:uid="{D8501C5A-A13E-41E2-8AEB-7777F8002E57}"/>
    <cellStyle name="Output 3 3 5" xfId="2489" xr:uid="{338F6F0E-CB18-45C8-ADF4-5AD554CE4F5C}"/>
    <cellStyle name="Output 3 3 6" xfId="2865" xr:uid="{E8F90B07-7F27-422C-9C26-774BC216A27D}"/>
    <cellStyle name="Output 3 3 7" xfId="3232" xr:uid="{8A644346-5612-4FAF-9D87-09450E5D3716}"/>
    <cellStyle name="Output 3 3 8" xfId="3588" xr:uid="{150594D8-DB48-4264-85F3-1E2AE043EFE5}"/>
    <cellStyle name="Output 3 4" xfId="877" xr:uid="{847254D7-6AF8-4E23-8112-02080DC1B55A}"/>
    <cellStyle name="Output 3 4 2" xfId="1499" xr:uid="{D0E7232C-29F2-4F11-96D5-BCCC5EE66888}"/>
    <cellStyle name="Output 3 4 3" xfId="1889" xr:uid="{FD4649AB-1312-4C1A-A052-F1DFA489A139}"/>
    <cellStyle name="Output 3 4 4" xfId="2276" xr:uid="{87C77E13-FA7D-49E5-A363-D96194D75588}"/>
    <cellStyle name="Output 3 4 5" xfId="2661" xr:uid="{0480A63F-86DF-48C8-A56F-3F7F363C5EDD}"/>
    <cellStyle name="Output 3 4 6" xfId="3037" xr:uid="{32155020-3BC3-47F7-98E0-A2FFE19427CF}"/>
    <cellStyle name="Output 3 4 7" xfId="3404" xr:uid="{3F09BCCD-FE65-438B-A6F8-B9E60BE7E519}"/>
    <cellStyle name="Output 3 4 8" xfId="3760" xr:uid="{E30DE4FF-A4D7-4368-964B-94E369A1973D}"/>
    <cellStyle name="Output 3 5" xfId="714" xr:uid="{DE950814-DF98-4EFC-9729-575A063CFCC1}"/>
    <cellStyle name="Output 3 5 2" xfId="1337" xr:uid="{C40F2FF5-E4BF-4AA8-90C4-93418925F7DF}"/>
    <cellStyle name="Output 3 5 3" xfId="1728" xr:uid="{1BEDD23F-1CDE-49BA-B628-6725AFD168F8}"/>
    <cellStyle name="Output 3 5 4" xfId="2114" xr:uid="{58365C4A-0463-4BFA-B0E1-A22C6257FA36}"/>
    <cellStyle name="Output 3 5 5" xfId="2500" xr:uid="{C4F2E608-5250-4381-A5F4-E42AB30B408C}"/>
    <cellStyle name="Output 3 5 6" xfId="2876" xr:uid="{B7DC4836-5181-41EA-9EA2-F508DF0DA9E0}"/>
    <cellStyle name="Output 3 5 7" xfId="3243" xr:uid="{1298A5F8-1F51-4380-B08D-AB191EFFB3F3}"/>
    <cellStyle name="Output 3 5 8" xfId="3599" xr:uid="{C8E24A80-0CEB-4B8D-96BF-66E2F12B4F09}"/>
    <cellStyle name="Output 3 6" xfId="868" xr:uid="{D262C8C1-9D14-43BE-87B6-64DD22E48D28}"/>
    <cellStyle name="Output 3 6 2" xfId="1490" xr:uid="{AF15B922-F6B6-4329-9966-8E4A50E98148}"/>
    <cellStyle name="Output 3 6 3" xfId="1880" xr:uid="{FE571D8E-36E7-4419-9459-DC814B287130}"/>
    <cellStyle name="Output 3 6 4" xfId="2267" xr:uid="{D1B8282A-E79D-43AC-8D1C-32D33FBEC2ED}"/>
    <cellStyle name="Output 3 6 5" xfId="2652" xr:uid="{6B21A2AC-2F28-4717-9E8D-A52D1F2F2D26}"/>
    <cellStyle name="Output 3 6 6" xfId="3028" xr:uid="{734C904F-1A9E-49E5-B918-397081340943}"/>
    <cellStyle name="Output 3 6 7" xfId="3395" xr:uid="{F482E2F8-9720-4AC3-9303-5A78D3770C80}"/>
    <cellStyle name="Output 3 6 8" xfId="3751" xr:uid="{6AB18899-1E6B-43FC-AB7A-6279C1657CEF}"/>
    <cellStyle name="Output 3 7" xfId="779" xr:uid="{9160F1B3-6C49-4E41-BA99-09B534EDF10C}"/>
    <cellStyle name="Output 3 7 2" xfId="1402" xr:uid="{87D7C688-B8B9-47C1-B7A3-41896E247C7C}"/>
    <cellStyle name="Output 3 7 3" xfId="1792" xr:uid="{DB91F780-CD84-4D76-BCA0-D1E9D1203D70}"/>
    <cellStyle name="Output 3 7 4" xfId="2179" xr:uid="{FF6DEE94-90FA-4E60-B6FD-C177E356A43C}"/>
    <cellStyle name="Output 3 7 5" xfId="2564" xr:uid="{5D5BAD3D-B787-431A-A9A5-BAEC9CACDBEC}"/>
    <cellStyle name="Output 3 7 6" xfId="2940" xr:uid="{E0B947C2-6E9B-480D-A999-EA540CC006B6}"/>
    <cellStyle name="Output 3 7 7" xfId="3307" xr:uid="{1BE34701-843B-4610-95BE-C91FB0BB0278}"/>
    <cellStyle name="Output 3 7 8" xfId="3663" xr:uid="{B2B0B006-2D16-46D1-AA1D-B767BED0DB4B}"/>
    <cellStyle name="Output 3 8" xfId="959" xr:uid="{8C48AF90-8BA9-4AEB-AE93-1DBF81755101}"/>
    <cellStyle name="Output 3 8 2" xfId="1580" xr:uid="{72F5EE3B-FE0F-4212-B03D-207A46169292}"/>
    <cellStyle name="Output 3 8 3" xfId="1971" xr:uid="{274D4E36-7FC9-40F4-8353-EDA8BC1B2141}"/>
    <cellStyle name="Output 3 8 4" xfId="2357" xr:uid="{8E091FB9-E783-400A-A1C4-8F46474254B5}"/>
    <cellStyle name="Output 3 8 5" xfId="2743" xr:uid="{57E470D5-96C9-41C2-8618-3CCA6DB0F23A}"/>
    <cellStyle name="Output 3 8 6" xfId="3118" xr:uid="{126BEF5E-A9DA-4E74-BF3D-54552AE4B166}"/>
    <cellStyle name="Output 3 8 7" xfId="3485" xr:uid="{CCB74026-D753-4125-99FD-4235135CB3AE}"/>
    <cellStyle name="Output 3 8 8" xfId="3840" xr:uid="{69CD077C-C6AB-4973-A07B-61E9F970B212}"/>
    <cellStyle name="Output 3 9" xfId="1092" xr:uid="{FC7E033C-4B52-4C4E-8725-C964825FD5E3}"/>
    <cellStyle name="Output 4" xfId="388" xr:uid="{3333F87E-4F1B-4CA7-852C-CAD155C56BB4}"/>
    <cellStyle name="Output 4 10" xfId="1066" xr:uid="{385AAFDC-FD37-468A-96B3-2B6807F3F7F8}"/>
    <cellStyle name="Output 4 11" xfId="166" xr:uid="{B560CD48-7D5C-4362-8AC9-6C299E3884EC}"/>
    <cellStyle name="Output 4 12" xfId="1619" xr:uid="{720DA822-9EB7-45BB-AE26-6D562505AAC0}"/>
    <cellStyle name="Output 4 13" xfId="1610" xr:uid="{D32C882D-596B-42F5-ABB9-8D9EAC931570}"/>
    <cellStyle name="Output 4 14" xfId="1075" xr:uid="{82318E51-C8B0-49BE-8EB8-4E0A8FFDE653}"/>
    <cellStyle name="Output 4 15" xfId="1011" xr:uid="{367CBEDC-F603-4D40-B502-E72C7F9689F0}"/>
    <cellStyle name="Output 4 2" xfId="733" xr:uid="{9FB956D2-5098-4C08-899D-7F51C32DD8C3}"/>
    <cellStyle name="Output 4 2 2" xfId="1356" xr:uid="{C953123E-9A43-461E-98ED-F99D19D5E7CD}"/>
    <cellStyle name="Output 4 2 3" xfId="1746" xr:uid="{AC6D3D85-B3E8-4EAD-88B8-1A516B60760E}"/>
    <cellStyle name="Output 4 2 4" xfId="2133" xr:uid="{8EF24F9F-EF67-40B5-A5E1-EE896E19122F}"/>
    <cellStyle name="Output 4 2 5" xfId="2518" xr:uid="{0EA06554-E4B1-43EC-BED5-64DA40255CA3}"/>
    <cellStyle name="Output 4 2 6" xfId="2894" xr:uid="{79764E4D-183D-4EB2-B906-E3CD11F78269}"/>
    <cellStyle name="Output 4 2 7" xfId="3261" xr:uid="{A20B37F7-0BB9-43B6-A0B6-4A9E133F3777}"/>
    <cellStyle name="Output 4 2 8" xfId="3617" xr:uid="{43B0B90A-91E0-41BA-9805-CDE09495F71F}"/>
    <cellStyle name="Output 4 3" xfId="342" xr:uid="{80CCC78D-0C6F-482E-812D-0DE5B59C3136}"/>
    <cellStyle name="Output 4 3 2" xfId="1062" xr:uid="{71066644-D19C-47CC-8C36-58B5EC11773D}"/>
    <cellStyle name="Output 4 3 3" xfId="1043" xr:uid="{E90FE1B5-F9BC-4455-B5FF-CAD004E4F61F}"/>
    <cellStyle name="Output 4 3 4" xfId="995" xr:uid="{F8F200FE-455E-414A-9704-BFAF2ACA25B6}"/>
    <cellStyle name="Output 4 3 5" xfId="2009" xr:uid="{56EAF35C-53EC-4DD3-8765-B616C0293F85}"/>
    <cellStyle name="Output 4 3 6" xfId="151" xr:uid="{24373DE9-13F9-4804-B4F6-E3C727ECE2AF}"/>
    <cellStyle name="Output 4 3 7" xfId="2774" xr:uid="{F5BC5DDA-101E-48FC-A7FB-A5666C2881F7}"/>
    <cellStyle name="Output 4 3 8" xfId="1019" xr:uid="{287D5330-29FB-4966-B8FF-30EA436E2B8E}"/>
    <cellStyle name="Output 4 4" xfId="827" xr:uid="{5CB97D47-FA66-4B59-99AF-64968F404318}"/>
    <cellStyle name="Output 4 4 2" xfId="1449" xr:uid="{135FA413-DFC7-40DB-B603-71665AD0D08D}"/>
    <cellStyle name="Output 4 4 3" xfId="1839" xr:uid="{5912B927-D6B2-4913-ABB2-8CE01485ECA6}"/>
    <cellStyle name="Output 4 4 4" xfId="2226" xr:uid="{4F0B0E4F-B16A-4F02-833F-090B6AC8CDB3}"/>
    <cellStyle name="Output 4 4 5" xfId="2611" xr:uid="{17BEB843-B256-4DCA-8FA0-76E78EA61B36}"/>
    <cellStyle name="Output 4 4 6" xfId="2987" xr:uid="{04367274-8645-4772-B3E5-16555CC630B0}"/>
    <cellStyle name="Output 4 4 7" xfId="3354" xr:uid="{E6A426E6-D2FC-4875-B83A-F3854DAB0CF4}"/>
    <cellStyle name="Output 4 4 8" xfId="3710" xr:uid="{E40149CE-5FC0-4BAC-9D3E-1A1EDFA122B9}"/>
    <cellStyle name="Output 4 5" xfId="673" xr:uid="{AD89ED8B-4F57-486B-907A-87C907D59990}"/>
    <cellStyle name="Output 4 5 2" xfId="1297" xr:uid="{DF5372D2-2926-49FE-A14C-4CE5895D78A8}"/>
    <cellStyle name="Output 4 5 3" xfId="1688" xr:uid="{8E97081F-15F5-4367-84E6-AB7C91C05DCB}"/>
    <cellStyle name="Output 4 5 4" xfId="2074" xr:uid="{5C9448A3-FAA9-41D7-8066-CCE04E96F80A}"/>
    <cellStyle name="Output 4 5 5" xfId="2460" xr:uid="{8F3C6A44-9ACB-4A6E-8B9B-0CCD52CE1D42}"/>
    <cellStyle name="Output 4 5 6" xfId="2836" xr:uid="{4F101A4B-4491-4208-8402-CEF74C4BE80F}"/>
    <cellStyle name="Output 4 5 7" xfId="3203" xr:uid="{B0991E62-2713-423E-A87D-B04990B9BFAE}"/>
    <cellStyle name="Output 4 5 8" xfId="3559" xr:uid="{676FF94C-5615-4FFB-9015-6DD98A84D53E}"/>
    <cellStyle name="Output 4 6" xfId="927" xr:uid="{14596B58-A5F3-4022-A13D-11EA8CFA8132}"/>
    <cellStyle name="Output 4 6 2" xfId="1548" xr:uid="{623C2E4C-F557-49D5-9451-C5BAE6F2D55D}"/>
    <cellStyle name="Output 4 6 3" xfId="1939" xr:uid="{A1022869-2C35-4A6B-A4D0-C56E0CA3BECC}"/>
    <cellStyle name="Output 4 6 4" xfId="2325" xr:uid="{12B15A09-586D-4FE2-8C04-42529FD0DB29}"/>
    <cellStyle name="Output 4 6 5" xfId="2711" xr:uid="{E23EB19F-3ACA-4E41-B4AD-E87AEA371975}"/>
    <cellStyle name="Output 4 6 6" xfId="3086" xr:uid="{809F2C02-4787-40D0-85E1-96795B0F40C5}"/>
    <cellStyle name="Output 4 6 7" xfId="3453" xr:uid="{02DE7E90-9D24-4E0D-BB12-FF52E5D8069E}"/>
    <cellStyle name="Output 4 6 8" xfId="3808" xr:uid="{88988109-102B-49B5-8ABE-CE9D1CA82850}"/>
    <cellStyle name="Output 4 7" xfId="666" xr:uid="{31735FB3-BDE5-4CA8-8619-C2B620F2B02D}"/>
    <cellStyle name="Output 4 7 2" xfId="1290" xr:uid="{169D5FE4-1328-4552-947A-2E26499C9FED}"/>
    <cellStyle name="Output 4 7 3" xfId="1681" xr:uid="{7AFB3270-7AD0-4999-9CB4-544854E16536}"/>
    <cellStyle name="Output 4 7 4" xfId="2067" xr:uid="{9F34A70A-FE0B-480E-AC80-8360EE38084E}"/>
    <cellStyle name="Output 4 7 5" xfId="2453" xr:uid="{32EB29C3-3C02-44B4-BA8E-C9122E81FFCB}"/>
    <cellStyle name="Output 4 7 6" xfId="2829" xr:uid="{F230DDE0-E173-4341-BE74-FBB875A4ED6B}"/>
    <cellStyle name="Output 4 7 7" xfId="3196" xr:uid="{7D781398-D4C5-4B30-971B-F4B73F7B1FA4}"/>
    <cellStyle name="Output 4 7 8" xfId="3552" xr:uid="{EB15A467-69AC-4BB5-8D54-4407ECED8836}"/>
    <cellStyle name="Output 4 8" xfId="695" xr:uid="{99FFD51B-74C6-40CD-990A-13EB8C52B3B5}"/>
    <cellStyle name="Output 4 8 2" xfId="1318" xr:uid="{B7475FDE-94FE-4AFE-8B00-2EEF0BB29506}"/>
    <cellStyle name="Output 4 8 3" xfId="1709" xr:uid="{DF4F6827-237C-4A8F-A981-72B38EE5FF0E}"/>
    <cellStyle name="Output 4 8 4" xfId="2095" xr:uid="{48559673-867C-470C-86CB-4A43EA2BF4F4}"/>
    <cellStyle name="Output 4 8 5" xfId="2481" xr:uid="{3BE12BA0-FFC0-491D-9490-2FAE21EC4F31}"/>
    <cellStyle name="Output 4 8 6" xfId="2857" xr:uid="{A12759FA-0137-433E-A0D2-D69343DC0963}"/>
    <cellStyle name="Output 4 8 7" xfId="3224" xr:uid="{009D7AA3-E79E-42FA-B262-6F98FF0897DF}"/>
    <cellStyle name="Output 4 8 8" xfId="3580" xr:uid="{451BDEE9-4100-453A-A95A-0DE31D697316}"/>
    <cellStyle name="Output 4 9" xfId="1097" xr:uid="{A9AAF453-6F4C-4960-A298-223D22A2CFC2}"/>
    <cellStyle name="Parameter" xfId="103" xr:uid="{00000000-0005-0000-0000-00006A000000}"/>
    <cellStyle name="Parameter#" xfId="104" xr:uid="{00000000-0005-0000-0000-00006B000000}"/>
    <cellStyle name="Parameter# 2" xfId="423" xr:uid="{2FC677EA-C6B7-431E-93A3-7EA71AB5C252}"/>
    <cellStyle name="Parameter# 3" xfId="320" xr:uid="{71B5865F-5298-4CBD-8A12-F0CB66FC7B1E}"/>
    <cellStyle name="Parameter#_Forecast PREFU20" xfId="606" xr:uid="{9EA21926-EAC5-4DA3-B450-D1521FB9C646}"/>
    <cellStyle name="Parameter$#" xfId="105" xr:uid="{00000000-0005-0000-0000-00006C000000}"/>
    <cellStyle name="Parameter$#.##" xfId="106" xr:uid="{00000000-0005-0000-0000-00006D000000}"/>
    <cellStyle name="Parameter$m" xfId="107" xr:uid="{00000000-0005-0000-0000-00006E000000}"/>
    <cellStyle name="Parameter$m 2" xfId="424" xr:uid="{801A1A5B-9964-43E6-B4C5-55BC8E25A7C7}"/>
    <cellStyle name="Parameter$m 3" xfId="321" xr:uid="{FD5BFE1A-2E48-4E1D-ACA4-A517B1854426}"/>
    <cellStyle name="Parameter$m_Forecast PREFU20" xfId="607" xr:uid="{AA4F1637-01CA-4F8F-BB1A-1CD46FDAE028}"/>
    <cellStyle name="Parameter%" xfId="108" xr:uid="{00000000-0005-0000-0000-00006F000000}"/>
    <cellStyle name="Parameter% 2" xfId="425" xr:uid="{BFB1AFD5-FE1F-4895-8240-1D6282950161}"/>
    <cellStyle name="Parameter% 3" xfId="322" xr:uid="{E03554F4-15D1-4763-94B3-C78A5D75D1BC}"/>
    <cellStyle name="Parameter%_Forecast PREFU20" xfId="608" xr:uid="{4CEFAE0B-B985-4306-A4F4-DD01BC2E7A7C}"/>
    <cellStyle name="ParameterDate" xfId="109" xr:uid="{00000000-0005-0000-0000-000070000000}"/>
    <cellStyle name="ParameterDate 2" xfId="426" xr:uid="{7E8A5F09-BAE0-4B40-9C8E-23F09B4900C3}"/>
    <cellStyle name="ParameterDate 3" xfId="323" xr:uid="{227F9D40-16A4-4897-ADBB-D7B0BBB49AC4}"/>
    <cellStyle name="ParameterDate_Forecast PREFU20" xfId="609" xr:uid="{652959F0-0D38-4E00-B9B0-52B1FBDC068D}"/>
    <cellStyle name="ParameterText" xfId="110" xr:uid="{00000000-0005-0000-0000-000071000000}"/>
    <cellStyle name="ParameterText 2" xfId="427" xr:uid="{EC3E6100-CD70-404D-BCCB-7E04E0B7AAEF}"/>
    <cellStyle name="ParameterText 3" xfId="324" xr:uid="{E2104422-E6E7-4505-BE72-A4AE085A6BC1}"/>
    <cellStyle name="ParameterText_Forecast PREFU20" xfId="610" xr:uid="{BBE6E550-4906-4156-97D8-D47BBB7D8038}"/>
    <cellStyle name="Percent ()" xfId="202" xr:uid="{0A6ED7BB-6325-4E19-AEF9-3C1E65F86609}"/>
    <cellStyle name="Percent () 2" xfId="251" xr:uid="{8292D875-C333-4E6C-8ABE-ED934134712D}"/>
    <cellStyle name="Percent () 3" xfId="252" xr:uid="{F8AA5799-7AF5-4F48-AD3D-B189195EA7EC}"/>
    <cellStyle name="Percent () 4" xfId="253" xr:uid="{9DA79A06-E1B2-4C45-A1CF-16B8CDDA76AC}"/>
    <cellStyle name="Percent () 5" xfId="254" xr:uid="{43831E94-C153-4559-ACB6-6E7282649DC5}"/>
    <cellStyle name="Percent () 6" xfId="255" xr:uid="{AFBC4C1D-279F-4038-945B-1C27AD1F541A}"/>
    <cellStyle name="Percent () 7" xfId="256" xr:uid="{282EBC59-CDD7-4A87-B8C4-C4380E05BDAE}"/>
    <cellStyle name="Percent () 8" xfId="257" xr:uid="{D80B052C-7F74-421C-9042-A68016C29DEF}"/>
    <cellStyle name="Percent () 9" xfId="258" xr:uid="{1EBEA4BA-3417-44D8-8D93-A7D25DEFC8E1}"/>
    <cellStyle name="Percent 1" xfId="203" xr:uid="{E58A7C33-5409-4F02-B4D0-D974EFB14000}"/>
    <cellStyle name="Percent 1 2" xfId="259" xr:uid="{8995C71B-3E8D-472E-98A1-D57D9B2EAD95}"/>
    <cellStyle name="Percent 1 3" xfId="260" xr:uid="{3B6B2D85-80F7-4DA3-AE4D-C57D9E0E6B76}"/>
    <cellStyle name="Percent 10" xfId="433" xr:uid="{B216E4DE-D121-4342-A927-1E0B75FEE8AE}"/>
    <cellStyle name="Percent 100" xfId="559" xr:uid="{05ADA7E9-1E5E-480D-B4CA-65743E8CF941}"/>
    <cellStyle name="Percent 101" xfId="560" xr:uid="{E4639229-4C63-41FB-BB91-C67A93724CC4}"/>
    <cellStyle name="Percent 102" xfId="561" xr:uid="{890A8924-3917-4CC6-9E0F-9582C3D563B5}"/>
    <cellStyle name="Percent 103" xfId="567" xr:uid="{301D07B6-0DB8-4FCF-B07B-14F42EC49636}"/>
    <cellStyle name="Percent 104" xfId="564" xr:uid="{3ECBB97B-7299-4FFF-8388-D41B50E3087A}"/>
    <cellStyle name="Percent 105" xfId="566" xr:uid="{7A50F46B-C0F6-4782-9ED7-69D65E52F84A}"/>
    <cellStyle name="Percent 106" xfId="565" xr:uid="{BD729584-572E-4B1E-B975-977E2296EA16}"/>
    <cellStyle name="Percent 107" xfId="571" xr:uid="{9FDDF6A6-C1E5-4A7D-A861-40335755EF20}"/>
    <cellStyle name="Percent 108" xfId="572" xr:uid="{044EBED6-20C6-44B4-B9DC-F9A2DA99691A}"/>
    <cellStyle name="Percent 109" xfId="573" xr:uid="{B4728874-400C-4F72-99E6-A6ABD799D878}"/>
    <cellStyle name="Percent 11" xfId="431" xr:uid="{DC31183F-60C1-4E87-A15F-7CCA062BA44F}"/>
    <cellStyle name="Percent 110" xfId="385" xr:uid="{DE54E606-9531-4FC8-8D92-C2422757412E}"/>
    <cellStyle name="Percent 111" xfId="1240" xr:uid="{F819F330-2A4E-48D6-B893-2DB284EE6A18}"/>
    <cellStyle name="Percent 112" xfId="1631" xr:uid="{B605C811-7601-4CFD-B30E-925863B6022A}"/>
    <cellStyle name="Percent 113" xfId="2018" xr:uid="{18C5292C-9480-467D-958C-342DF9A2D3D8}"/>
    <cellStyle name="Percent 114" xfId="2403" xr:uid="{DD406B36-F6E8-476E-BAC8-72FD7C99AAA9}"/>
    <cellStyle name="Percent 115" xfId="2780" xr:uid="{AC52AC87-FF33-4E70-8861-EC550C5C82E6}"/>
    <cellStyle name="Percent 116" xfId="3146" xr:uid="{A74CB8FC-8FDA-43F4-9D4F-39FF3E794F4B}"/>
    <cellStyle name="Percent 12" xfId="444" xr:uid="{E6CEE1FB-C8F7-41FF-832F-FE7B285E298E}"/>
    <cellStyle name="Percent 13" xfId="448" xr:uid="{F026AF99-CF70-424F-9E27-C3006445654D}"/>
    <cellStyle name="Percent 14" xfId="474" xr:uid="{6A40D741-3605-485C-AFCA-FFEA4B9F09ED}"/>
    <cellStyle name="Percent 15" xfId="460" xr:uid="{29031C8A-417E-45D1-8C42-CBEDCA241783}"/>
    <cellStyle name="Percent 16" xfId="473" xr:uid="{41EEA756-C017-4898-BD7A-0410FA5C490F}"/>
    <cellStyle name="Percent 17" xfId="466" xr:uid="{4536FF11-F050-4004-BA59-513A497EF2D6}"/>
    <cellStyle name="Percent 18" xfId="471" xr:uid="{83E615BF-F936-4030-A493-D36E9005E450}"/>
    <cellStyle name="Percent 19" xfId="467" xr:uid="{16D73366-D2E9-4513-AF6A-7F842F65A823}"/>
    <cellStyle name="Percent 2" xfId="111" xr:uid="{00000000-0005-0000-0000-000073000000}"/>
    <cellStyle name="Percent 2 2" xfId="112" xr:uid="{00000000-0005-0000-0000-000074000000}"/>
    <cellStyle name="Percent 2 2 2" xfId="261" xr:uid="{91803AE6-BDA5-4AE8-BB09-312E8B8E9E25}"/>
    <cellStyle name="Percent 2 3" xfId="113" xr:uid="{00000000-0005-0000-0000-000075000000}"/>
    <cellStyle name="Percent 2 3 2" xfId="262" xr:uid="{2429A723-84C8-437C-8A01-96A90B55637C}"/>
    <cellStyle name="Percent 2 4" xfId="114" xr:uid="{00000000-0005-0000-0000-000076000000}"/>
    <cellStyle name="Percent 2 5" xfId="204" xr:uid="{0FBD19FF-4513-47B3-8BB7-55F0C0DDB781}"/>
    <cellStyle name="Percent 2_Recipients Prelim BEFU19" xfId="440" xr:uid="{CB92FE23-3937-4B19-8616-A5312A16023F}"/>
    <cellStyle name="Percent 20" xfId="470" xr:uid="{91744777-C050-42F4-A3CB-7873ACCDB56B}"/>
    <cellStyle name="Percent 21" xfId="469" xr:uid="{0C257B3D-F7C1-4F74-9739-8121722AFEA7}"/>
    <cellStyle name="Percent 22" xfId="451" xr:uid="{936350F2-09CB-4EBF-9DF1-351FE7E77344}"/>
    <cellStyle name="Percent 23" xfId="455" xr:uid="{42A86E79-F665-4B56-BC68-1C528D89EF6A}"/>
    <cellStyle name="Percent 24" xfId="475" xr:uid="{C49BE1C1-30F5-401F-A22D-F32C048F4A61}"/>
    <cellStyle name="Percent 25" xfId="463" xr:uid="{30D7B350-1839-47FB-B1C4-16AF9098C707}"/>
    <cellStyle name="Percent 26" xfId="464" xr:uid="{C773C4B2-4C3C-41B8-BC84-10E4DED7AD18}"/>
    <cellStyle name="Percent 27" xfId="484" xr:uid="{15A41F78-FF5C-4DB7-972F-8E2AFCDD3AFB}"/>
    <cellStyle name="Percent 28" xfId="452" xr:uid="{37FD62FE-D883-40A8-BC32-DD50BBEBE662}"/>
    <cellStyle name="Percent 29" xfId="478" xr:uid="{2348A6E2-E6E4-4E3F-A8B3-E2E3451F354E}"/>
    <cellStyle name="Percent 3" xfId="115" xr:uid="{00000000-0005-0000-0000-000077000000}"/>
    <cellStyle name="Percent 30" xfId="477" xr:uid="{0124ECD0-C89B-44F5-ABD2-028D0462FDBA}"/>
    <cellStyle name="Percent 31" xfId="450" xr:uid="{A74925F7-4DB0-4446-AB5B-EFE5842590A9}"/>
    <cellStyle name="Percent 32" xfId="476" xr:uid="{84E782F6-9CA2-47BF-A61B-FFD7119A796F}"/>
    <cellStyle name="Percent 33" xfId="453" xr:uid="{F2AAB9A3-B1D0-4461-9CFB-371A6B584DB0}"/>
    <cellStyle name="Percent 34" xfId="482" xr:uid="{61E83807-747D-40FD-ABFE-152ECBE50E07}"/>
    <cellStyle name="Percent 35" xfId="465" xr:uid="{53A8EC25-657D-4894-984B-D2B2F38D0CC5}"/>
    <cellStyle name="Percent 36" xfId="457" xr:uid="{5B9F806D-DD28-4A46-99DE-855C4795D434}"/>
    <cellStyle name="Percent 37" xfId="496" xr:uid="{53A3EEDB-3506-412C-8952-E6F46DF96EA1}"/>
    <cellStyle name="Percent 38" xfId="497" xr:uid="{D3846976-F389-4A38-96C3-BE5452BD05ED}"/>
    <cellStyle name="Percent 39" xfId="498" xr:uid="{0096AAFA-2B73-4624-B7FC-2C8591915AB8}"/>
    <cellStyle name="Percent 4" xfId="116" xr:uid="{00000000-0005-0000-0000-000078000000}"/>
    <cellStyle name="Percent 4 2" xfId="221" xr:uid="{0319419D-28E7-436A-95B3-E319513A0730}"/>
    <cellStyle name="Percent 40" xfId="499" xr:uid="{3211B45A-4D4B-4737-9C2E-C468FE40C49F}"/>
    <cellStyle name="Percent 41" xfId="500" xr:uid="{9FA829CE-2D63-4FAC-A187-D3B878E23A29}"/>
    <cellStyle name="Percent 42" xfId="501" xr:uid="{BBDF628B-C109-4770-A588-C1F1A67FFF77}"/>
    <cellStyle name="Percent 43" xfId="502" xr:uid="{E16B8E05-B1BE-457F-8278-ECCF2B1C5D41}"/>
    <cellStyle name="Percent 44" xfId="503" xr:uid="{E591E2F2-30A9-4B55-8C7B-841075101C83}"/>
    <cellStyle name="Percent 45" xfId="504" xr:uid="{2FCA1C51-FC50-4AC5-B1E3-9BBABCA60EFD}"/>
    <cellStyle name="Percent 46" xfId="505" xr:uid="{09147F9C-A232-4E50-B44E-9ADC5F881D93}"/>
    <cellStyle name="Percent 47" xfId="506" xr:uid="{8263B418-4B19-403F-BFE2-67300AE497FF}"/>
    <cellStyle name="Percent 48" xfId="507" xr:uid="{B1263B86-F09C-49E4-A929-C12825F7149A}"/>
    <cellStyle name="Percent 49" xfId="508" xr:uid="{9B445746-7B9F-411A-A1FE-B45AC464CDA6}"/>
    <cellStyle name="Percent 5" xfId="226" xr:uid="{497091C7-E08E-4291-B007-4680E9B200DC}"/>
    <cellStyle name="Percent 50" xfId="509" xr:uid="{D3DE45C5-B2B9-4FF0-850F-C7E8254D2363}"/>
    <cellStyle name="Percent 51" xfId="510" xr:uid="{CA57EEB2-9525-4FF2-836D-38006FF0A150}"/>
    <cellStyle name="Percent 52" xfId="511" xr:uid="{F490CE96-9B32-42CB-B2A9-33F64BA2FB17}"/>
    <cellStyle name="Percent 53" xfId="512" xr:uid="{CAC2270D-68B7-4B19-B042-A27053883A11}"/>
    <cellStyle name="Percent 54" xfId="513" xr:uid="{E4431924-C4D4-41B7-9D68-E8540DE0F1C3}"/>
    <cellStyle name="Percent 55" xfId="514" xr:uid="{453DB3F7-C067-4587-9CE9-8528F7E2D52B}"/>
    <cellStyle name="Percent 56" xfId="515" xr:uid="{69B2C176-C538-461B-B259-062A309BEA61}"/>
    <cellStyle name="Percent 57" xfId="516" xr:uid="{A26859C2-9EA5-4BF3-A84B-3153F82F78FF}"/>
    <cellStyle name="Percent 58" xfId="517" xr:uid="{67DFE39E-CDDA-40B7-9953-522B8F46CA54}"/>
    <cellStyle name="Percent 59" xfId="518" xr:uid="{D5F5A3A7-6589-49B6-8A9E-A870D857CE04}"/>
    <cellStyle name="Percent 6" xfId="234" xr:uid="{91C0CA33-8B86-4593-99F5-052928CC4314}"/>
    <cellStyle name="Percent 60" xfId="519" xr:uid="{D96B5C55-425A-40CE-A542-30154F825D5B}"/>
    <cellStyle name="Percent 61" xfId="520" xr:uid="{F62C6F56-8AC0-4E03-8EE8-ABFCE19A568D}"/>
    <cellStyle name="Percent 62" xfId="521" xr:uid="{B833B6D5-0E21-4BD1-ADEF-81B7F8A03582}"/>
    <cellStyle name="Percent 63" xfId="522" xr:uid="{7365196C-A3F9-428D-986B-C1E525396FCB}"/>
    <cellStyle name="Percent 64" xfId="523" xr:uid="{88497D8E-9BD6-4DA3-BF81-CCB052159B40}"/>
    <cellStyle name="Percent 65" xfId="524" xr:uid="{D8B373E9-8094-4917-88BE-6C9D5B7323D4}"/>
    <cellStyle name="Percent 66" xfId="525" xr:uid="{A24BC3EA-82D4-4735-B5EA-17216A0BAD2F}"/>
    <cellStyle name="Percent 67" xfId="526" xr:uid="{E2B3565F-B64D-45FA-B83F-9F0037B8DDA3}"/>
    <cellStyle name="Percent 68" xfId="527" xr:uid="{2E77B641-F1E5-4B80-8517-D105BD64C43B}"/>
    <cellStyle name="Percent 69" xfId="528" xr:uid="{C778C038-CD89-480F-8552-AB7E22FCE092}"/>
    <cellStyle name="Percent 7" xfId="239" xr:uid="{AACC8787-D02C-4851-94D8-8F923347B4EA}"/>
    <cellStyle name="Percent 70" xfId="529" xr:uid="{4C2D79C1-1530-4CF8-994D-99FF5B261818}"/>
    <cellStyle name="Percent 71" xfId="530" xr:uid="{696A8A6C-A917-4A68-B7B9-F048ED7686CF}"/>
    <cellStyle name="Percent 72" xfId="531" xr:uid="{A3230E36-613F-4D5D-A376-7505D322BB7B}"/>
    <cellStyle name="Percent 73" xfId="532" xr:uid="{C4C8D7FF-4909-4EB1-9FCD-982FF9CD4A4E}"/>
    <cellStyle name="Percent 74" xfId="533" xr:uid="{18D2EBD7-2C29-460A-B683-4C8F483E2772}"/>
    <cellStyle name="Percent 75" xfId="534" xr:uid="{2B11F239-E9F8-4433-B6B7-FBA17801198F}"/>
    <cellStyle name="Percent 76" xfId="535" xr:uid="{3EA40CA0-FF1B-48B3-A590-109C19BC6146}"/>
    <cellStyle name="Percent 77" xfId="536" xr:uid="{F8927FDD-3A97-47DF-BBE8-C19FE7B38C4C}"/>
    <cellStyle name="Percent 78" xfId="537" xr:uid="{6A26DD6D-2811-49AC-9B76-724427A08D07}"/>
    <cellStyle name="Percent 79" xfId="538" xr:uid="{BE9560B8-E4EC-41E7-B42B-D3944A0BA3D9}"/>
    <cellStyle name="Percent 8" xfId="277" xr:uid="{1C63F954-BAE8-43F7-9FB7-9C9BC106C360}"/>
    <cellStyle name="Percent 80" xfId="539" xr:uid="{A1F77358-CB54-4DBE-80A0-FB148E31D41F}"/>
    <cellStyle name="Percent 81" xfId="540" xr:uid="{F7E9D5B2-05A6-4F53-973E-CE8FE6747244}"/>
    <cellStyle name="Percent 82" xfId="541" xr:uid="{C4D832FD-931F-4631-AD83-7F56C2916F72}"/>
    <cellStyle name="Percent 83" xfId="542" xr:uid="{C09E1788-CE1B-4AB1-8251-1708C6E324C6}"/>
    <cellStyle name="Percent 84" xfId="543" xr:uid="{88908D31-CA8E-4A42-9F9B-29200D2035A0}"/>
    <cellStyle name="Percent 85" xfId="544" xr:uid="{B8A7F727-27AD-4403-AE7F-7DFABE5632AF}"/>
    <cellStyle name="Percent 86" xfId="545" xr:uid="{FBBBAC5C-63D6-46F2-AEE7-592EC46663DB}"/>
    <cellStyle name="Percent 87" xfId="546" xr:uid="{0B6257B2-03B8-4D7F-8A76-7EF5D31572BC}"/>
    <cellStyle name="Percent 88" xfId="547" xr:uid="{18C9B63C-9DE4-4B68-BCDE-7EEB456ABD1E}"/>
    <cellStyle name="Percent 89" xfId="548" xr:uid="{E761372D-3626-4417-A3D9-2B9C47A9E1A0}"/>
    <cellStyle name="Percent 9" xfId="415" xr:uid="{3FCFAFB6-3531-4312-A030-CEA2B1D69D31}"/>
    <cellStyle name="Percent 90" xfId="549" xr:uid="{352298F8-60C3-4179-B1B6-3121B1B6373E}"/>
    <cellStyle name="Percent 91" xfId="550" xr:uid="{27E4D3C0-8ABE-4F66-B22C-797AF6956B49}"/>
    <cellStyle name="Percent 92" xfId="551" xr:uid="{31CE473C-7A07-4467-A0F0-ECCA0489C04D}"/>
    <cellStyle name="Percent 93" xfId="552" xr:uid="{07AE6E79-20CC-40C8-A2C6-D276F3E5EA01}"/>
    <cellStyle name="Percent 94" xfId="553" xr:uid="{4F3872B3-CEA6-4FD5-9110-B4AB222D0B24}"/>
    <cellStyle name="Percent 95" xfId="554" xr:uid="{1C584CC1-EA32-47DF-B8A6-0CAA24B95B08}"/>
    <cellStyle name="Percent 96" xfId="555" xr:uid="{303D4719-9608-4486-8BD7-9A30380EBE41}"/>
    <cellStyle name="Percent 97" xfId="556" xr:uid="{74D665D6-8082-4DD2-8B98-279902DA97C3}"/>
    <cellStyle name="Percent 98" xfId="557" xr:uid="{ABD1D185-F211-4E49-ABDF-0E48D640BD3C}"/>
    <cellStyle name="Percent 99" xfId="558" xr:uid="{A37FB8DF-E064-4766-BBE5-A1DDBE78ECA7}"/>
    <cellStyle name="PreDef#" xfId="361" xr:uid="{7AAB7E13-AF6C-41CF-8E33-797E51C8D5C5}"/>
    <cellStyle name="PreDef$" xfId="362" xr:uid="{8E8AFCD5-3369-481A-911C-E378B6146D21}"/>
    <cellStyle name="PreDef$m" xfId="363" xr:uid="{CFA8D46D-AEF9-4516-A053-8333499C9BD6}"/>
    <cellStyle name="PreDef%" xfId="364" xr:uid="{BAD6E501-DCC1-4669-9421-90AA12D9794F}"/>
    <cellStyle name="PreDefDate" xfId="365" xr:uid="{480C91CD-42E8-4082-B4F9-7A3569BAEEBA}"/>
    <cellStyle name="PreDefText" xfId="366" xr:uid="{4EEB51FD-FF39-4B8B-9AC1-6645FF5B993B}"/>
    <cellStyle name="Ref#" xfId="117" xr:uid="{00000000-0005-0000-0000-000079000000}"/>
    <cellStyle name="Ref# 2" xfId="411" xr:uid="{44E159C3-82BE-4AC9-BEE6-7C0A48619C27}"/>
    <cellStyle name="Ref# 3" xfId="325" xr:uid="{827ED999-08EA-47EB-8799-E938F68828FB}"/>
    <cellStyle name="Ref#_Forecast PREFU20" xfId="611" xr:uid="{A65385B2-80CD-4576-A60C-1DAD0367DC10}"/>
    <cellStyle name="SectionNumber" xfId="118" xr:uid="{00000000-0005-0000-0000-00007A000000}"/>
    <cellStyle name="SectionNumber 2" xfId="412" xr:uid="{8EDE99CE-620D-4455-B366-AA2EF2318186}"/>
    <cellStyle name="SectionNumber 3" xfId="326" xr:uid="{5C4C4341-4BBE-4F26-8DE4-E1A488DC571D}"/>
    <cellStyle name="SectionNumber_Forecast PREFU20" xfId="612" xr:uid="{564370B5-964B-443B-ABA2-FF9843158D50}"/>
    <cellStyle name="SeparatorLine" xfId="119" xr:uid="{00000000-0005-0000-0000-00007B000000}"/>
    <cellStyle name="Shorthand Title" xfId="367" xr:uid="{01C46A63-4988-4B0D-9063-5C95313C5E43}"/>
    <cellStyle name="Shorthand Title 2" xfId="716" xr:uid="{1B58A213-91AD-4491-94C1-6C72F661AC94}"/>
    <cellStyle name="Shorthand Title 2 2" xfId="1339" xr:uid="{B85432C4-593E-4F51-A2B5-00F6DF2C1ADB}"/>
    <cellStyle name="Shorthand Title 2 3" xfId="1730" xr:uid="{ED809A8F-FCD1-4610-906B-84BA08766A96}"/>
    <cellStyle name="Shorthand Title 2 4" xfId="2116" xr:uid="{CFF99F51-3E24-49F0-833A-0937B5439F26}"/>
    <cellStyle name="Shorthand Title 2 5" xfId="2502" xr:uid="{B1096262-E06C-4E58-A040-DD1FE2DD5472}"/>
    <cellStyle name="Shorthand Title 2 6" xfId="2878" xr:uid="{20DC5601-6EDE-4AC9-8576-F75CBC255C95}"/>
    <cellStyle name="Shorthand Title 2 7" xfId="3245" xr:uid="{46571B55-58BD-41AD-8283-90FC073A757C}"/>
    <cellStyle name="Shorthand Title 2 8" xfId="3601" xr:uid="{29DB6D36-2962-4C90-9A00-1DBC3B4D16CA}"/>
    <cellStyle name="Shorthand Title 3" xfId="649" xr:uid="{8EDCBB3F-C3F7-4B51-8509-E20E67F8E54C}"/>
    <cellStyle name="Shorthand Title 3 2" xfId="1273" xr:uid="{64EC04C1-F32A-404D-B019-BD796E0E3574}"/>
    <cellStyle name="Shorthand Title 3 3" xfId="1664" xr:uid="{ABF2A173-7ED9-441B-96E0-B7819F5448EB}"/>
    <cellStyle name="Shorthand Title 3 4" xfId="2050" xr:uid="{AD60420E-BEA5-4F7A-8CF9-60A2C0194FB7}"/>
    <cellStyle name="Shorthand Title 3 5" xfId="2436" xr:uid="{E57526DB-8F8D-4B7D-857D-88BABC5C558D}"/>
    <cellStyle name="Shorthand Title 3 6" xfId="2812" xr:uid="{81ED566B-DD9E-4917-9B40-D7D90F07F3BF}"/>
    <cellStyle name="Shorthand Title 3 7" xfId="3179" xr:uid="{3D8F7CA4-B255-4718-A368-46FD1B0A7E4F}"/>
    <cellStyle name="Shorthand Title 3 8" xfId="3535" xr:uid="{6E479310-8B9C-47EE-AE39-3A0F33EB2CFB}"/>
    <cellStyle name="Shorthand Title 4" xfId="811" xr:uid="{C17BF33A-9364-4466-A11B-47BF333C859F}"/>
    <cellStyle name="Shorthand Title 4 2" xfId="1434" xr:uid="{C60EB356-DBE2-47F0-9F31-A7507FEBDFFB}"/>
    <cellStyle name="Shorthand Title 4 3" xfId="1824" xr:uid="{5E1D1D73-625D-4B4A-844F-BC5C77BBAE0D}"/>
    <cellStyle name="Shorthand Title 4 4" xfId="2211" xr:uid="{50849998-B594-467D-B285-BDD42DE3BFC3}"/>
    <cellStyle name="Shorthand Title 4 5" xfId="2596" xr:uid="{8F97588C-242B-4706-B362-903AF0A2509D}"/>
    <cellStyle name="Shorthand Title 4 6" xfId="2972" xr:uid="{C1ED36B5-3224-4E9D-998A-76B974E96172}"/>
    <cellStyle name="Shorthand Title 4 7" xfId="3339" xr:uid="{2ADE6966-255F-458B-A751-1F46C1955622}"/>
    <cellStyle name="Shorthand Title 4 8" xfId="3695" xr:uid="{35AF4300-FE0D-43A0-8C78-68A7E8878F34}"/>
    <cellStyle name="Shorthand Title 5" xfId="664" xr:uid="{AFD55AA8-8D67-447D-8C70-1E89816E574F}"/>
    <cellStyle name="Shorthand Title 5 2" xfId="1288" xr:uid="{80E3BE1F-2F06-4485-BC0C-6A8880FDA23B}"/>
    <cellStyle name="Shorthand Title 5 3" xfId="1679" xr:uid="{AD202571-77EE-4BA7-A151-5C703540B1BB}"/>
    <cellStyle name="Shorthand Title 5 4" xfId="2065" xr:uid="{706DCEA8-8392-4D38-B67F-824EA5A9B943}"/>
    <cellStyle name="Shorthand Title 5 5" xfId="2451" xr:uid="{3DB17B34-0F5C-4CED-ADFF-153C2A256621}"/>
    <cellStyle name="Shorthand Title 5 6" xfId="2827" xr:uid="{B5805150-ED46-4498-9E45-7BD1E2DD765F}"/>
    <cellStyle name="Shorthand Title 5 7" xfId="3194" xr:uid="{6BEDD626-4027-4FC4-940B-31195D751045}"/>
    <cellStyle name="Shorthand Title 5 8" xfId="3550" xr:uid="{79AE1402-2492-49F6-8AF3-34677EC70A5D}"/>
    <cellStyle name="Shorthand Title 6" xfId="632" xr:uid="{55C74FF4-FA14-4DCB-94BF-A54CE72A9BB1}"/>
    <cellStyle name="Shorthand Title 6 2" xfId="1256" xr:uid="{F74E8246-A162-4EBC-9D74-E2682AA08877}"/>
    <cellStyle name="Shorthand Title 6 3" xfId="1647" xr:uid="{D4F9C713-35B1-4AEB-BCE2-8F60761B2FB4}"/>
    <cellStyle name="Shorthand Title 6 4" xfId="2034" xr:uid="{58930E32-CC1C-4C78-8142-91EEB042738E}"/>
    <cellStyle name="Shorthand Title 6 5" xfId="2419" xr:uid="{3102D9BB-C4FF-4C88-AD24-F703C4E96309}"/>
    <cellStyle name="Shorthand Title 6 6" xfId="2796" xr:uid="{3EE34222-9742-4B0F-AC9D-6B4D1680D9E6}"/>
    <cellStyle name="Shorthand Title 6 7" xfId="3162" xr:uid="{8FEC4BDC-B0F4-4EE5-940C-2648015F2E9F}"/>
    <cellStyle name="Shorthand Title 6 8" xfId="3519" xr:uid="{8EED9EC9-6E1F-466A-A380-0E3F61F29515}"/>
    <cellStyle name="Shorthand Title 7" xfId="923" xr:uid="{541FC898-6D86-4CB5-A1A4-FB17A44B9E60}"/>
    <cellStyle name="Shorthand Title 7 2" xfId="1544" xr:uid="{629B964E-5E6D-4B2B-B274-FE9A8AF11D8F}"/>
    <cellStyle name="Shorthand Title 7 3" xfId="1935" xr:uid="{B784E846-2734-43F0-B90A-CBBBCFD2E5EA}"/>
    <cellStyle name="Shorthand Title 7 4" xfId="2321" xr:uid="{B2D970E3-220B-4E32-B494-7C6939C37E82}"/>
    <cellStyle name="Shorthand Title 7 5" xfId="2707" xr:uid="{D59BFA61-0DBE-46DB-B590-DA4EEBF8004A}"/>
    <cellStyle name="Shorthand Title 7 6" xfId="3082" xr:uid="{CAA4A89F-D297-454F-A7E3-B9E9B5825F37}"/>
    <cellStyle name="Shorthand Title 7 7" xfId="3449" xr:uid="{F1AE3DB1-0AC6-4D50-9128-27EADA2E87FD}"/>
    <cellStyle name="Shorthand Title 7 8" xfId="3804" xr:uid="{6B288DC2-4E27-49F8-B198-4B5A20FE793C}"/>
    <cellStyle name="Shorthand Title 8" xfId="171" xr:uid="{96F1AD2E-6DD4-4723-9039-E145776E2BA4}"/>
    <cellStyle name="Shorthand Title 9" xfId="1039" xr:uid="{D0844077-C387-48F4-B28B-25AFF4017748}"/>
    <cellStyle name="Style 21" xfId="205" xr:uid="{DF31437B-9C88-4F77-B24A-B80C49E06946}"/>
    <cellStyle name="Style 23" xfId="206" xr:uid="{D3897E03-EB30-4AF0-898A-6714AB5776DC}"/>
    <cellStyle name="Style 24" xfId="207" xr:uid="{025484F4-34CC-4131-86EE-38D9A74E12F7}"/>
    <cellStyle name="Sum" xfId="208" xr:uid="{D6FEB8B8-1864-47EE-BF4B-52DCE34A6F9B}"/>
    <cellStyle name="Sum %of HV" xfId="209" xr:uid="{22A1B17B-683F-4533-A3B1-E7BE4824EF77}"/>
    <cellStyle name="Sum %of HV 2" xfId="263" xr:uid="{A7560697-AC93-4121-A98B-6E9359CBD33B}"/>
    <cellStyle name="Sum %of HV 3" xfId="264" xr:uid="{571076A4-A6C7-482A-9992-9A8B5851FCDC}"/>
    <cellStyle name="Team Footer" xfId="120" xr:uid="{00000000-0005-0000-0000-00007C000000}"/>
    <cellStyle name="Team Footer 2" xfId="428" xr:uid="{1FF97D93-47E3-45A8-86FA-BC4E753E06BC}"/>
    <cellStyle name="Team Footer 3" xfId="327" xr:uid="{2DADB82C-ED4E-42FC-874D-1CB5FB625FF7}"/>
    <cellStyle name="Team Footer_Forecast PREFU20" xfId="613" xr:uid="{6DAEFA95-A543-48FA-A6A2-5F09305D6616}"/>
    <cellStyle name="TeamFooter (no itallics)" xfId="121" xr:uid="{00000000-0005-0000-0000-00007D000000}"/>
    <cellStyle name="time" xfId="210" xr:uid="{0BF6B3D3-2AD6-4D79-8459-A0265CE21F8A}"/>
    <cellStyle name="Title 2" xfId="122" xr:uid="{00000000-0005-0000-0000-00007E000000}"/>
    <cellStyle name="Title 2 2" xfId="354" xr:uid="{9C3D8E44-CACA-44DC-8F48-56DF5445EF3C}"/>
    <cellStyle name="Title 3" xfId="123" xr:uid="{00000000-0005-0000-0000-00007F000000}"/>
    <cellStyle name="Title 3 2" xfId="375" xr:uid="{99870DAE-30CD-4923-B767-297E4D2071B5}"/>
    <cellStyle name="Title 4" xfId="439" xr:uid="{D28D7004-0317-46F8-AF32-DAD19DD06B23}"/>
    <cellStyle name="Title Main Header" xfId="124" xr:uid="{00000000-0005-0000-0000-000080000000}"/>
    <cellStyle name="Title Main Header 2" xfId="125" xr:uid="{00000000-0005-0000-0000-000081000000}"/>
    <cellStyle name="Title Main Header 2 2" xfId="429" xr:uid="{EBF39991-3C12-44CB-AB9B-3F5E0403A4EB}"/>
    <cellStyle name="Title Main Header 3" xfId="126" xr:uid="{00000000-0005-0000-0000-000082000000}"/>
    <cellStyle name="Title Main Header 3 2" xfId="445" xr:uid="{58541015-80C8-4ED8-A2E8-A64C38135096}"/>
    <cellStyle name="Title Main Header 4" xfId="328" xr:uid="{AFE74222-03F8-47B4-A05C-5A1DB4AB68F1}"/>
    <cellStyle name="Title Main Header_Forecast PREFU20" xfId="614" xr:uid="{17354643-A360-4584-80AD-4847ECDDE466}"/>
    <cellStyle name="Total 2" xfId="127" xr:uid="{00000000-0005-0000-0000-000083000000}"/>
    <cellStyle name="Total 2 2" xfId="355" xr:uid="{2E3D92F3-9B06-4D69-BE0F-EC2C053082B7}"/>
    <cellStyle name="Total 2 2 2" xfId="1070" xr:uid="{6918E5C4-9F13-4E9B-B400-3755EFD8B262}"/>
    <cellStyle name="Total 2 2 3" xfId="1040" xr:uid="{D9B2537D-736D-4AEF-816C-E9CA14D48F47}"/>
    <cellStyle name="Total 2 2 4" xfId="1014" xr:uid="{38B29ADA-4DE2-4CD3-A35A-9F5679B486E8}"/>
    <cellStyle name="Total 2 2 5" xfId="2007" xr:uid="{88215FE4-5556-4B1F-AEFC-88FBE494AA18}"/>
    <cellStyle name="Total 2 2 6" xfId="1890" xr:uid="{58B40828-B4FF-4F58-9678-D82CBD3F26AB}"/>
    <cellStyle name="Total 2 2 7" xfId="2773" xr:uid="{10ECEC19-0A1A-4EE7-835E-86F305D26E11}"/>
    <cellStyle name="Total 2 2 8" xfId="2662" xr:uid="{D13BA484-61C6-431A-8A49-A46EE86EABFC}"/>
    <cellStyle name="Total 2 3" xfId="706" xr:uid="{0BDAF2C1-F76A-4909-A00C-113029108F25}"/>
    <cellStyle name="Total 2 3 2" xfId="1329" xr:uid="{5E4048A3-77A3-4345-AA5F-65DDE03D3E0A}"/>
    <cellStyle name="Total 2 3 3" xfId="1720" xr:uid="{A1533D0B-8760-4ECC-B49D-CBEB95B8043D}"/>
    <cellStyle name="Total 2 3 4" xfId="2106" xr:uid="{D3802AC6-967C-4B97-8967-DDB357CAA479}"/>
    <cellStyle name="Total 2 3 5" xfId="2492" xr:uid="{AFB6366F-1F78-4492-8331-B342F721D605}"/>
    <cellStyle name="Total 2 3 6" xfId="2868" xr:uid="{C22588BC-BAD6-4FB1-8D65-42FCF99737C3}"/>
    <cellStyle name="Total 2 3 7" xfId="3235" xr:uid="{15DDD29F-67E6-4210-B660-B59AB09829CB}"/>
    <cellStyle name="Total 2 3 8" xfId="3591" xr:uid="{131F1825-3291-4A37-AD20-10727B37CAE4}"/>
    <cellStyle name="Total 2 4" xfId="336" xr:uid="{7D976AF0-DCBD-458A-8F72-94BE12025B12}"/>
    <cellStyle name="Total 2 4 2" xfId="1056" xr:uid="{5208F151-5385-4BF5-8C6C-47151C4C2397}"/>
    <cellStyle name="Total 2 4 3" xfId="178" xr:uid="{FDCC5E6E-2C07-44C0-8EF6-0C57262739F0}"/>
    <cellStyle name="Total 2 4 4" xfId="1137" xr:uid="{2BB0D89A-D241-43D0-A224-DB380C6075AC}"/>
    <cellStyle name="Total 2 4 5" xfId="1024" xr:uid="{6A4E7C8B-7B6D-444F-9E71-43E94ECBB953}"/>
    <cellStyle name="Total 2 4 6" xfId="2399" xr:uid="{D1B87021-3564-42DA-B3ED-2251250254E5}"/>
    <cellStyle name="Total 2 4 7" xfId="1153" xr:uid="{4EC34379-5DBA-4326-98CC-5029D903F325}"/>
    <cellStyle name="Total 2 4 8" xfId="3145" xr:uid="{34FAADC2-5D22-4E4F-B5AA-C0F465083BCF}"/>
    <cellStyle name="Total 2 5" xfId="750" xr:uid="{CAC9B535-379F-4C02-B860-5E4127E18936}"/>
    <cellStyle name="Total 2 5 2" xfId="1373" xr:uid="{1FB5F67F-5D1D-4640-BC82-463003BF0B08}"/>
    <cellStyle name="Total 2 5 3" xfId="1763" xr:uid="{38EB016C-8A4D-4611-B5D1-5CF4DB56F68C}"/>
    <cellStyle name="Total 2 5 4" xfId="2150" xr:uid="{41FB8F52-A8E0-4758-8327-CC8659DFEC8F}"/>
    <cellStyle name="Total 2 5 5" xfId="2535" xr:uid="{BFC90F2B-1672-4B1A-92AA-6F44F7B58060}"/>
    <cellStyle name="Total 2 5 6" xfId="2911" xr:uid="{512C3CB1-A46B-4242-B3EB-71F27A068E3C}"/>
    <cellStyle name="Total 2 5 7" xfId="3278" xr:uid="{C56DD9A9-EB40-4D99-BCCB-2127A844132F}"/>
    <cellStyle name="Total 2 5 8" xfId="3634" xr:uid="{6EAF7C29-D088-4C58-A164-66A2880EAEB7}"/>
    <cellStyle name="Total 2 6" xfId="771" xr:uid="{8E0FDD76-AC69-4132-B41F-884CACC0F792}"/>
    <cellStyle name="Total 2 6 2" xfId="1394" xr:uid="{0AD1FA82-1E0A-4C51-8806-C951DDE95F9A}"/>
    <cellStyle name="Total 2 6 3" xfId="1784" xr:uid="{EC026D17-700A-4952-B491-7AA6179B6937}"/>
    <cellStyle name="Total 2 6 4" xfId="2171" xr:uid="{CA1257BC-D4C7-45CE-B6C8-53D2F3E52798}"/>
    <cellStyle name="Total 2 6 5" xfId="2556" xr:uid="{6E37DE15-5B27-4DAF-8457-01F402647C86}"/>
    <cellStyle name="Total 2 6 6" xfId="2932" xr:uid="{1756558E-DC6B-49CE-B2A4-EE4833F62CD4}"/>
    <cellStyle name="Total 2 6 7" xfId="3299" xr:uid="{11237DA4-4D88-4EEC-9D65-997F6F5F3E3C}"/>
    <cellStyle name="Total 2 6 8" xfId="3655" xr:uid="{2383D253-A47F-4BB0-963A-BAE71781179D}"/>
    <cellStyle name="Total 2 7" xfId="816" xr:uid="{773A57C2-723E-48F4-8441-6FBCB72F11AE}"/>
    <cellStyle name="Total 2 7 2" xfId="1439" xr:uid="{42BB0D30-B4FF-441E-9E12-313C4E005316}"/>
    <cellStyle name="Total 2 7 3" xfId="1829" xr:uid="{D5EB883C-252F-4AD3-BC18-D0E2CAE61E4D}"/>
    <cellStyle name="Total 2 7 4" xfId="2216" xr:uid="{B529B06D-2B61-4FCB-B5D9-307069D9EC5F}"/>
    <cellStyle name="Total 2 7 5" xfId="2601" xr:uid="{C2FD15AF-58A5-4D07-B09C-918370C64281}"/>
    <cellStyle name="Total 2 7 6" xfId="2977" xr:uid="{69753150-663C-4896-BDBF-F7307F2512ED}"/>
    <cellStyle name="Total 2 7 7" xfId="3344" xr:uid="{DC786A6E-6D47-4AE5-889F-398AA05F871F}"/>
    <cellStyle name="Total 2 7 8" xfId="3700" xr:uid="{C2D8D81E-A732-4E0A-9ADE-1EC6504DA83C}"/>
    <cellStyle name="Total 3" xfId="128" xr:uid="{00000000-0005-0000-0000-000084000000}"/>
    <cellStyle name="Type" xfId="129" xr:uid="{00000000-0005-0000-0000-000085000000}"/>
    <cellStyle name="Type 2" xfId="413" xr:uid="{C7702DF9-9211-49A1-A0ED-9CA04BA5AACD}"/>
    <cellStyle name="Type 3" xfId="329" xr:uid="{73387699-C947-4E42-B760-B11F20008F9E}"/>
    <cellStyle name="Type_Forecast PREFU20" xfId="615" xr:uid="{3C3EFFE6-82CE-49D2-BFAF-E9DBDDBEDFAE}"/>
    <cellStyle name="Underline 2" xfId="211" xr:uid="{C70C2609-F7EF-42C0-BF1A-9E70D034F85D}"/>
    <cellStyle name="Warning Text 2" xfId="130" xr:uid="{00000000-0005-0000-0000-000086000000}"/>
    <cellStyle name="WorkInProgress" xfId="131" xr:uid="{00000000-0005-0000-0000-000087000000}"/>
    <cellStyle name="WorkInProgress 2" xfId="414" xr:uid="{A6C24311-E9C3-4627-9087-915C7028A703}"/>
    <cellStyle name="WorkInProgress 3" xfId="330" xr:uid="{72A06511-DEC9-4470-A76E-88D7077A0AFF}"/>
    <cellStyle name="WorkInProgress_Forecast PREFU20" xfId="616" xr:uid="{6653119D-A034-40BB-BB10-E27910462146}"/>
    <cellStyle name="Year" xfId="212" xr:uid="{3C9B3C9C-3588-425B-9057-5E52F3935D4C}"/>
    <cellStyle name="Year 10" xfId="663" xr:uid="{309094CE-F947-41AE-8113-128427F6ABDB}"/>
    <cellStyle name="Year 10 2" xfId="1287" xr:uid="{47254CD5-7118-48AD-A57F-3346D87869B9}"/>
    <cellStyle name="Year 10 3" xfId="1678" xr:uid="{BA6F4034-6EFC-4C88-A6F2-9B2ABA8BF0E3}"/>
    <cellStyle name="Year 10 4" xfId="2064" xr:uid="{9CC2F079-554C-4C34-B286-8BF74F1574C3}"/>
    <cellStyle name="Year 10 5" xfId="2450" xr:uid="{E20D3035-21BB-400C-ACDB-5B364B459A3D}"/>
    <cellStyle name="Year 10 6" xfId="2826" xr:uid="{9E9EF1D6-276B-4C60-B058-68E70C61A0C9}"/>
    <cellStyle name="Year 10 7" xfId="3193" xr:uid="{3057F92A-5B2C-45BA-A5C9-CAB1CB56F535}"/>
    <cellStyle name="Year 10 8" xfId="3549" xr:uid="{EC6CE733-A467-4647-B5AD-34BF991FD6FF}"/>
    <cellStyle name="Year 2" xfId="265" xr:uid="{574C237A-A9D0-4D34-930F-734DA62F1280}"/>
    <cellStyle name="Year 2 2" xfId="645" xr:uid="{0F5F954D-CAD4-4546-B79B-E0B9266091AE}"/>
    <cellStyle name="Year 2 2 2" xfId="1269" xr:uid="{F470875C-F540-4EC2-9144-04C06FB06251}"/>
    <cellStyle name="Year 2 2 3" xfId="1660" xr:uid="{90EE2E8A-8686-4EC9-A86F-7B15E6040E33}"/>
    <cellStyle name="Year 2 2 4" xfId="2046" xr:uid="{00DF68E3-5C85-4530-B639-4BF777FE3456}"/>
    <cellStyle name="Year 2 2 5" xfId="2432" xr:uid="{5FD8635D-A573-4ABC-870B-F34823EA0211}"/>
    <cellStyle name="Year 2 2 6" xfId="2808" xr:uid="{8F9EBCA2-A1A1-408D-851E-8E5CC717093A}"/>
    <cellStyle name="Year 2 2 7" xfId="3175" xr:uid="{8206C466-84AB-4F9C-BB85-F886ED7125F1}"/>
    <cellStyle name="Year 2 2 8" xfId="3531" xr:uid="{576772AB-7715-4824-B26E-3E9CE4B691AC}"/>
    <cellStyle name="Year 2 3" xfId="819" xr:uid="{CBC73FB1-14D0-4A99-818B-289FD024CD63}"/>
    <cellStyle name="Year 2 3 2" xfId="1442" xr:uid="{C93E9B49-D024-4FFB-BD94-9A71BEC02104}"/>
    <cellStyle name="Year 2 3 3" xfId="1832" xr:uid="{F2573DBA-1DFB-4936-A166-F315A20D6C1A}"/>
    <cellStyle name="Year 2 3 4" xfId="2219" xr:uid="{9F3D7E1F-C210-4DDA-BA79-D4C9C2D5375F}"/>
    <cellStyle name="Year 2 3 5" xfId="2604" xr:uid="{85C2760B-C187-4458-AA79-16D79DCE47FF}"/>
    <cellStyle name="Year 2 3 6" xfId="2980" xr:uid="{E45B70BF-B1E5-4A4C-A5A7-45ECC405991A}"/>
    <cellStyle name="Year 2 3 7" xfId="3347" xr:uid="{06FBFC75-275F-494B-B15D-775BA85CFC2D}"/>
    <cellStyle name="Year 2 3 8" xfId="3703" xr:uid="{3FBFBC66-C386-4E96-9C25-EFC12AA81422}"/>
    <cellStyle name="Year 2 4" xfId="856" xr:uid="{17A8BE87-6936-4C13-A5A5-836F84444E0B}"/>
    <cellStyle name="Year 2 4 2" xfId="1478" xr:uid="{84F5E4ED-AAEA-4B89-8BCD-B12022B6205B}"/>
    <cellStyle name="Year 2 4 3" xfId="1868" xr:uid="{D990E62A-CF7D-437A-A0F9-C16C2F777278}"/>
    <cellStyle name="Year 2 4 4" xfId="2255" xr:uid="{8BFEEC32-77A7-4C68-9693-E08F067E2FA2}"/>
    <cellStyle name="Year 2 4 5" xfId="2640" xr:uid="{C0839C7C-D58F-4DAE-8DC0-FD324902EA66}"/>
    <cellStyle name="Year 2 4 6" xfId="3016" xr:uid="{7E7F6060-78D5-4F29-98DD-F386A3C1C98A}"/>
    <cellStyle name="Year 2 4 7" xfId="3383" xr:uid="{26D13AFA-BA78-4525-A051-701E298A99B9}"/>
    <cellStyle name="Year 2 4 8" xfId="3739" xr:uid="{AF758E2C-97A6-437F-975C-3A50C6F9CD72}"/>
    <cellStyle name="Year 2 5" xfId="886" xr:uid="{DCAACF72-29AC-44B4-B6BD-452BF42FF9AD}"/>
    <cellStyle name="Year 2 5 2" xfId="1507" xr:uid="{75BEAA4B-773E-4B67-9A21-72E9526C9B80}"/>
    <cellStyle name="Year 2 5 3" xfId="1898" xr:uid="{7DF2AB32-F419-409B-BE57-03F64DD46999}"/>
    <cellStyle name="Year 2 5 4" xfId="2284" xr:uid="{1D095994-0673-461D-A1EB-31A0AE881DE3}"/>
    <cellStyle name="Year 2 5 5" xfId="2670" xr:uid="{CAA32381-8511-4A3B-86C3-52205FF58F0A}"/>
    <cellStyle name="Year 2 5 6" xfId="3045" xr:uid="{2D04DEE8-7156-4B93-8AD2-36B61A4884CB}"/>
    <cellStyle name="Year 2 5 7" xfId="3412" xr:uid="{DD111E56-DC2D-46BC-88FD-A0A4C06812E9}"/>
    <cellStyle name="Year 2 5 8" xfId="3768" xr:uid="{F403E450-7BEE-45DA-BB0F-1E7C98B8B1FC}"/>
    <cellStyle name="Year 2 6" xfId="808" xr:uid="{DFB51335-2F25-4761-9E61-95BA30BBE983}"/>
    <cellStyle name="Year 2 6 2" xfId="1431" xr:uid="{F45AE40B-BF11-41A9-82E1-084FE5D125D6}"/>
    <cellStyle name="Year 2 6 3" xfId="1821" xr:uid="{4ADF4B7D-3064-442B-904D-9210B22A502F}"/>
    <cellStyle name="Year 2 6 4" xfId="2208" xr:uid="{ADDD5B9C-012C-4501-BF1D-46C8EF82F2DE}"/>
    <cellStyle name="Year 2 6 5" xfId="2593" xr:uid="{C62F1FF5-38DB-4C33-A4B2-CA44CDE93338}"/>
    <cellStyle name="Year 2 6 6" xfId="2969" xr:uid="{164E05B0-6EC0-481F-86E4-9C506C408C53}"/>
    <cellStyle name="Year 2 6 7" xfId="3336" xr:uid="{2D8CDFAA-8AA7-48D3-942B-ACCED9F92C63}"/>
    <cellStyle name="Year 2 6 8" xfId="3692" xr:uid="{E7A79104-930D-4AB6-9B97-66FA5AAEC96F}"/>
    <cellStyle name="Year 2 7" xfId="937" xr:uid="{6EF10ABC-8397-4F61-A975-2B753CB81217}"/>
    <cellStyle name="Year 2 7 2" xfId="1558" xr:uid="{59C8307F-3F68-4446-B544-E6B7AB03A3FF}"/>
    <cellStyle name="Year 2 7 3" xfId="1949" xr:uid="{5C0FFB6C-E10B-40B0-9D7D-4C4A6C04E6FB}"/>
    <cellStyle name="Year 2 7 4" xfId="2335" xr:uid="{B20646B0-07FF-4698-91C7-C80BCD0A4009}"/>
    <cellStyle name="Year 2 7 5" xfId="2721" xr:uid="{C89DC488-1554-44FA-A32D-4BF163DCDCBC}"/>
    <cellStyle name="Year 2 7 6" xfId="3096" xr:uid="{E96FFEC9-1458-4FDC-9FD3-676CD0C6B12F}"/>
    <cellStyle name="Year 2 7 7" xfId="3463" xr:uid="{5F53CD54-E020-4D28-B9BD-6E4A78387E4B}"/>
    <cellStyle name="Year 2 7 8" xfId="3818" xr:uid="{9787FBF6-1F03-46B2-997C-8FF5E566A486}"/>
    <cellStyle name="Year 2 8" xfId="693" xr:uid="{563D3AF4-06AC-41FE-84F5-0F1A70FF532D}"/>
    <cellStyle name="Year 2 8 2" xfId="1316" xr:uid="{6C394F0A-9846-4BF8-A406-DCE075F00E2D}"/>
    <cellStyle name="Year 2 8 3" xfId="1707" xr:uid="{7EDCAD5C-EF3B-4E0F-B1D4-2B1D89AB772E}"/>
    <cellStyle name="Year 2 8 4" xfId="2093" xr:uid="{6B735302-B4ED-4286-B6B9-57206E7E9157}"/>
    <cellStyle name="Year 2 8 5" xfId="2479" xr:uid="{588BC2D6-0E5C-407B-A695-7F1ADE5E32DF}"/>
    <cellStyle name="Year 2 8 6" xfId="2855" xr:uid="{29D734AE-71ED-4A4C-AF64-6CF4530D3724}"/>
    <cellStyle name="Year 2 8 7" xfId="3222" xr:uid="{47CE6AC0-1085-4FCA-8F55-21821D40D94D}"/>
    <cellStyle name="Year 2 8 8" xfId="3578" xr:uid="{CD9A0DCC-8866-4D2D-A4BF-7712055296B0}"/>
    <cellStyle name="Year 3" xfId="266" xr:uid="{03945BD5-8122-44B8-BA4A-6F2F706BA312}"/>
    <cellStyle name="Year 3 2" xfId="646" xr:uid="{4FC66C39-958E-4436-978C-66B550CA5F54}"/>
    <cellStyle name="Year 3 2 2" xfId="1270" xr:uid="{72529B97-59FD-4751-A740-FE3E18975EE5}"/>
    <cellStyle name="Year 3 2 3" xfId="1661" xr:uid="{8293F066-2F94-43E0-8BAE-9B7A5836B56B}"/>
    <cellStyle name="Year 3 2 4" xfId="2047" xr:uid="{D105512D-CA57-4E32-B9FB-BC3D4960B7EA}"/>
    <cellStyle name="Year 3 2 5" xfId="2433" xr:uid="{70EE2CC4-E0FA-4E04-ADA8-27D1A07F6CF7}"/>
    <cellStyle name="Year 3 2 6" xfId="2809" xr:uid="{CDBDD94A-4D3A-404C-8A63-B7A584A445A1}"/>
    <cellStyle name="Year 3 2 7" xfId="3176" xr:uid="{202225A8-5291-447E-8876-BFA8AAE42615}"/>
    <cellStyle name="Year 3 2 8" xfId="3532" xr:uid="{668A9581-C62B-42F0-A275-5B880DDBC996}"/>
    <cellStyle name="Year 3 3" xfId="818" xr:uid="{E9D5AD3F-CE72-4064-B50F-5FA840D61064}"/>
    <cellStyle name="Year 3 3 2" xfId="1441" xr:uid="{12B77CDA-2FC9-4C06-92FE-97B3404DF46B}"/>
    <cellStyle name="Year 3 3 3" xfId="1831" xr:uid="{D2A81A07-8242-42DE-9787-685ED22D25BB}"/>
    <cellStyle name="Year 3 3 4" xfId="2218" xr:uid="{44FC7383-6624-4280-A6C1-565B36CCAE2E}"/>
    <cellStyle name="Year 3 3 5" xfId="2603" xr:uid="{A0BBD16A-7CC4-4AD9-B831-90F800050E11}"/>
    <cellStyle name="Year 3 3 6" xfId="2979" xr:uid="{87D5C855-90FD-4FE2-A333-950083BEC8E8}"/>
    <cellStyle name="Year 3 3 7" xfId="3346" xr:uid="{5B2CDC06-D189-4D4E-8E49-125CFD083699}"/>
    <cellStyle name="Year 3 3 8" xfId="3702" xr:uid="{531BE9CE-35B4-4A18-8778-40B9A749BFE8}"/>
    <cellStyle name="Year 3 4" xfId="768" xr:uid="{F1290A0B-E456-4EA7-821F-27D9230E97C7}"/>
    <cellStyle name="Year 3 4 2" xfId="1391" xr:uid="{226FF87D-E425-4F8C-BEDC-774B10ACEFA7}"/>
    <cellStyle name="Year 3 4 3" xfId="1781" xr:uid="{8D64D6D7-4357-4C52-8155-280780F241E2}"/>
    <cellStyle name="Year 3 4 4" xfId="2168" xr:uid="{539C51DE-7E87-45C4-9320-9FAD8E3F7064}"/>
    <cellStyle name="Year 3 4 5" xfId="2553" xr:uid="{05810FF1-7562-470E-A49D-EE976F61AD8D}"/>
    <cellStyle name="Year 3 4 6" xfId="2929" xr:uid="{37BDCC65-AC52-4612-9800-8A6767F33DDD}"/>
    <cellStyle name="Year 3 4 7" xfId="3296" xr:uid="{274FC5AF-6C83-449E-8EBB-17DF40CC371D}"/>
    <cellStyle name="Year 3 4 8" xfId="3652" xr:uid="{D08FBCFD-ACAE-4D13-B559-3682974F72CB}"/>
    <cellStyle name="Year 3 5" xfId="787" xr:uid="{E5C22D23-C09A-4609-AD08-42BDD93309E6}"/>
    <cellStyle name="Year 3 5 2" xfId="1410" xr:uid="{C64E230A-6C59-4735-961F-F27A2D28838D}"/>
    <cellStyle name="Year 3 5 3" xfId="1800" xr:uid="{4BF7E00A-B20D-43F3-9B53-D92F1DE70DDD}"/>
    <cellStyle name="Year 3 5 4" xfId="2187" xr:uid="{2E48D560-5EA3-4633-8692-671837AA7BCC}"/>
    <cellStyle name="Year 3 5 5" xfId="2572" xr:uid="{25F11F4C-908B-4AFA-965A-8C291CD7D9AE}"/>
    <cellStyle name="Year 3 5 6" xfId="2948" xr:uid="{56CDEC7E-F10E-4390-9ADF-0B1E9A81D0C3}"/>
    <cellStyle name="Year 3 5 7" xfId="3315" xr:uid="{2FA3A2E9-74B5-4A46-915F-F4B30C5DF929}"/>
    <cellStyle name="Year 3 5 8" xfId="3671" xr:uid="{764C5BB8-EEB7-4B6F-9D65-087030B6DDBF}"/>
    <cellStyle name="Year 3 6" xfId="740" xr:uid="{70FFBBE1-A215-40E0-B609-D2A4C52B0EBE}"/>
    <cellStyle name="Year 3 6 2" xfId="1363" xr:uid="{E4173A58-2B13-49DF-851F-12B7D0F9C86B}"/>
    <cellStyle name="Year 3 6 3" xfId="1753" xr:uid="{65E0A818-39F2-4C06-ACE6-2D8D45291F32}"/>
    <cellStyle name="Year 3 6 4" xfId="2140" xr:uid="{D0E3A1DC-FE8D-40C0-9A23-9637DF9E86EE}"/>
    <cellStyle name="Year 3 6 5" xfId="2525" xr:uid="{B47072F8-1E0A-4EFD-9B57-A7AF17796A65}"/>
    <cellStyle name="Year 3 6 6" xfId="2901" xr:uid="{A7989787-FF58-4345-BD49-7BB3259D5BC2}"/>
    <cellStyle name="Year 3 6 7" xfId="3268" xr:uid="{50FC6431-E123-4F00-8EA8-8E5F7A95C95B}"/>
    <cellStyle name="Year 3 6 8" xfId="3624" xr:uid="{39DC53B7-7ECB-40E3-9697-2598E30C7080}"/>
    <cellStyle name="Year 3 7" xfId="719" xr:uid="{772579BC-182D-4DE4-8CE0-5BC9BF486C01}"/>
    <cellStyle name="Year 3 7 2" xfId="1342" xr:uid="{3C6A12ED-2E51-43F4-890C-12945EAF3D76}"/>
    <cellStyle name="Year 3 7 3" xfId="1733" xr:uid="{CAAE6B88-A3A1-470A-A087-11102DC5D45F}"/>
    <cellStyle name="Year 3 7 4" xfId="2119" xr:uid="{D5278AF0-EF56-4A2F-A874-3F8212F48E23}"/>
    <cellStyle name="Year 3 7 5" xfId="2505" xr:uid="{FB8D909E-1BF7-4102-8CAC-543D2A49596A}"/>
    <cellStyle name="Year 3 7 6" xfId="2881" xr:uid="{FD69A8A1-6555-49E5-8E9C-7283D42A2F8E}"/>
    <cellStyle name="Year 3 7 7" xfId="3248" xr:uid="{9C3DCE4F-6D19-48CC-8733-5E94A5AAA982}"/>
    <cellStyle name="Year 3 7 8" xfId="3604" xr:uid="{48F90EA6-3FCC-4AF7-ACFE-195103E06104}"/>
    <cellStyle name="Year 3 8" xfId="945" xr:uid="{4A90491D-3D6C-4FF6-9258-959472272B34}"/>
    <cellStyle name="Year 3 8 2" xfId="1566" xr:uid="{C3B4A2B9-CF06-435A-A4CC-B351D192712E}"/>
    <cellStyle name="Year 3 8 3" xfId="1957" xr:uid="{3FC1E69E-0D27-4DEC-B562-AB7A9FDF767F}"/>
    <cellStyle name="Year 3 8 4" xfId="2343" xr:uid="{157CB424-398D-453A-9C98-67CF896650F2}"/>
    <cellStyle name="Year 3 8 5" xfId="2729" xr:uid="{A8CB5A7D-9C46-434B-B1A2-9205954529FE}"/>
    <cellStyle name="Year 3 8 6" xfId="3104" xr:uid="{FC2F8918-856E-4332-A3CA-496E353FBFAC}"/>
    <cellStyle name="Year 3 8 7" xfId="3471" xr:uid="{11F52B69-AA88-4ADB-B7E5-845FCDDB4DC4}"/>
    <cellStyle name="Year 3 8 8" xfId="3826" xr:uid="{C098725C-7872-42FC-82B6-AF9C2A73A88B}"/>
    <cellStyle name="Year 4" xfId="337" xr:uid="{DC3B93DB-D8A6-401B-ADDA-E140E9F42BB3}"/>
    <cellStyle name="Year 4 2" xfId="1057" xr:uid="{454571EE-438E-4CE3-8F29-4A21FEF0A926}"/>
    <cellStyle name="Year 4 3" xfId="1232" xr:uid="{06F4F918-66B1-4C5E-9098-F571353EADCC}"/>
    <cellStyle name="Year 4 4" xfId="1622" xr:uid="{27CE2FED-7467-46C0-A4DE-3A9849557868}"/>
    <cellStyle name="Year 4 5" xfId="1064" xr:uid="{708E191B-AD6C-4FE9-BE49-E93A3C912AE5}"/>
    <cellStyle name="Year 4 6" xfId="1224" xr:uid="{6FE3739C-3004-48A8-B60E-D066946CB797}"/>
    <cellStyle name="Year 4 7" xfId="988" xr:uid="{B7E5F5C6-FC90-4BE5-AC2E-1FDE39BA62FD}"/>
    <cellStyle name="Year 4 8" xfId="1596" xr:uid="{2483E80C-90F2-4D62-9FB4-13937C076B8F}"/>
    <cellStyle name="Year 5" xfId="682" xr:uid="{C339A4BB-1836-4D39-AB7A-C6F241B15E96}"/>
    <cellStyle name="Year 5 2" xfId="1306" xr:uid="{4A62E059-F929-49F5-B494-8964374DE42A}"/>
    <cellStyle name="Year 5 3" xfId="1697" xr:uid="{956A5431-42AF-4BB6-8D60-A5EEED42C352}"/>
    <cellStyle name="Year 5 4" xfId="2083" xr:uid="{351556C5-D58C-4006-882E-9D578298B1F3}"/>
    <cellStyle name="Year 5 5" xfId="2469" xr:uid="{ED734AB6-A9A6-46A3-98D6-F9D3F5F35E68}"/>
    <cellStyle name="Year 5 6" xfId="2845" xr:uid="{3F6CA5B5-81BD-404C-B9E6-B316777643F8}"/>
    <cellStyle name="Year 5 7" xfId="3212" xr:uid="{83B0C2BF-2F9F-4D29-9DF0-CE3C98F654E7}"/>
    <cellStyle name="Year 5 8" xfId="3568" xr:uid="{86B9D54D-68E0-4A77-A36A-6BF1E4A4921C}"/>
    <cellStyle name="Year 6" xfId="869" xr:uid="{293EA623-2EC3-4E2D-BA2E-4A13707E0FD6}"/>
    <cellStyle name="Year 6 2" xfId="1491" xr:uid="{1AD88A53-75BB-4CE7-AD6C-901A2CCC38A7}"/>
    <cellStyle name="Year 6 3" xfId="1881" xr:uid="{707A3CD8-C05C-4501-AA55-2D95DDCBC8A0}"/>
    <cellStyle name="Year 6 4" xfId="2268" xr:uid="{74816F53-7E8C-4712-9806-470DD6FD9834}"/>
    <cellStyle name="Year 6 5" xfId="2653" xr:uid="{F46484F3-9485-4895-B0FF-00303135EC35}"/>
    <cellStyle name="Year 6 6" xfId="3029" xr:uid="{C8DD391E-762E-4257-AF18-B9A5230F80B5}"/>
    <cellStyle name="Year 6 7" xfId="3396" xr:uid="{B13AFDB3-6E17-45CF-B467-07C818D6ED30}"/>
    <cellStyle name="Year 6 8" xfId="3752" xr:uid="{792692BC-8FC3-441B-AB01-40FBBE083CEB}"/>
    <cellStyle name="Year 7" xfId="881" xr:uid="{0F5153FC-639C-416D-91AA-F243A360F880}"/>
    <cellStyle name="Year 7 2" xfId="1502" xr:uid="{C77C503A-F756-41DF-8FF5-E2B9CA1ED4FD}"/>
    <cellStyle name="Year 7 3" xfId="1893" xr:uid="{86D87546-FAE9-4189-AA8C-E7F51F63663E}"/>
    <cellStyle name="Year 7 4" xfId="2279" xr:uid="{2B4707B6-C281-4D24-B74A-1260E2D82171}"/>
    <cellStyle name="Year 7 5" xfId="2665" xr:uid="{583847C0-BDDC-45C4-A89F-0320970F990E}"/>
    <cellStyle name="Year 7 6" xfId="3040" xr:uid="{DF986127-18BB-4FFD-9043-B618AD2AF0BD}"/>
    <cellStyle name="Year 7 7" xfId="3407" xr:uid="{3E04880C-8344-42F5-9DD7-7AD6D337DD9E}"/>
    <cellStyle name="Year 7 8" xfId="3763" xr:uid="{B24FB644-120F-44A5-9570-3767669EC7D1}"/>
    <cellStyle name="Year 8" xfId="639" xr:uid="{0410D2A5-FC94-4D3F-BE9F-A62A1ADC0016}"/>
    <cellStyle name="Year 8 2" xfId="1263" xr:uid="{076552A4-45C7-4595-B4E2-1FD104DD9948}"/>
    <cellStyle name="Year 8 3" xfId="1654" xr:uid="{CCFFBA5F-D8F3-4EA6-8B85-3725358FA8E5}"/>
    <cellStyle name="Year 8 4" xfId="2040" xr:uid="{E10C306A-40FD-4EDC-8005-B256141F092B}"/>
    <cellStyle name="Year 8 5" xfId="2426" xr:uid="{BC3BD3EE-B128-4A56-810B-770B18ED6BDA}"/>
    <cellStyle name="Year 8 6" xfId="2802" xr:uid="{1E0EB0A3-AE96-4027-8327-3CC913451620}"/>
    <cellStyle name="Year 8 7" xfId="3169" xr:uid="{36F360E6-A328-4B7C-A86F-FBEE8FA16E07}"/>
    <cellStyle name="Year 8 8" xfId="3525" xr:uid="{44B2C665-2503-4F3C-901F-9C33B8FF035B}"/>
    <cellStyle name="Year 9" xfId="943" xr:uid="{14FC6EA4-B928-4485-8884-0A3E35B27FDA}"/>
    <cellStyle name="Year 9 2" xfId="1564" xr:uid="{DB08C399-8556-4F27-9DBE-9C6503BACAA7}"/>
    <cellStyle name="Year 9 3" xfId="1955" xr:uid="{6DF6C110-13D0-4509-83CA-A582882F1632}"/>
    <cellStyle name="Year 9 4" xfId="2341" xr:uid="{DE86BC52-A386-40DA-B92E-C4EF83C88E1B}"/>
    <cellStyle name="Year 9 5" xfId="2727" xr:uid="{AB97FD40-9D6B-4693-BB6C-33CA6A65305C}"/>
    <cellStyle name="Year 9 6" xfId="3102" xr:uid="{F2148DAB-3AE0-4EE2-A4C3-D18A63A8162A}"/>
    <cellStyle name="Year 9 7" xfId="3469" xr:uid="{D6D97078-19FC-4E5B-BA9E-0A0C1817C6A2}"/>
    <cellStyle name="Year 9 8" xfId="3824" xr:uid="{BCAF1041-56BE-4F9A-B8E1-CA4F50DD5382}"/>
  </cellStyles>
  <dxfs count="14">
    <dxf>
      <font>
        <color theme="0"/>
      </font>
      <fill>
        <patternFill patternType="solid">
          <fgColor theme="3"/>
          <bgColor theme="3"/>
        </patternFill>
      </fill>
    </dxf>
    <dxf>
      <font>
        <color theme="0"/>
      </font>
      <fill>
        <patternFill patternType="solid">
          <fgColor theme="3"/>
          <bgColor theme="3"/>
        </patternFill>
      </fill>
    </dxf>
    <dxf>
      <font>
        <b/>
        <color theme="1"/>
      </font>
    </dxf>
    <dxf>
      <font>
        <b/>
        <color theme="1"/>
      </font>
      <fill>
        <patternFill patternType="solid">
          <fgColor theme="5" tint="0.79998168889431442"/>
          <bgColor theme="5" tint="0.79998168889431442"/>
        </patternFill>
      </fill>
    </dxf>
    <dxf>
      <font>
        <b/>
        <color theme="1"/>
      </font>
    </dxf>
    <dxf>
      <font>
        <b/>
        <color theme="1"/>
      </font>
      <fill>
        <patternFill patternType="solid">
          <fgColor theme="5" tint="0.59999389629810485"/>
          <bgColor theme="5" tint="0.59999389629810485"/>
        </patternFill>
      </fill>
    </dxf>
    <dxf>
      <font>
        <b/>
        <color theme="1"/>
      </font>
      <border>
        <left style="medium">
          <color theme="5" tint="0.59999389629810485"/>
        </left>
        <right style="medium">
          <color theme="5" tint="0.59999389629810485"/>
        </right>
        <top style="medium">
          <color theme="5" tint="0.59999389629810485"/>
        </top>
        <bottom style="medium">
          <color theme="5" tint="0.59999389629810485"/>
        </bottom>
      </border>
    </dxf>
    <dxf>
      <border>
        <left style="thin">
          <color theme="5" tint="0.39997558519241921"/>
        </left>
        <right style="thin">
          <color theme="5" tint="0.39997558519241921"/>
        </right>
      </border>
    </dxf>
    <dxf>
      <border>
        <top style="thin">
          <color theme="5" tint="0.39997558519241921"/>
        </top>
        <bottom style="thin">
          <color theme="5" tint="0.39997558519241921"/>
        </bottom>
        <horizontal style="thin">
          <color theme="5" tint="0.39997558519241921"/>
        </horizontal>
      </border>
    </dxf>
    <dxf>
      <font>
        <b/>
        <color theme="1"/>
      </font>
      <border>
        <top style="thin">
          <color theme="5" tint="-0.249977111117893"/>
        </top>
        <bottom style="medium">
          <color theme="5" tint="-0.249977111117893"/>
        </bottom>
      </border>
    </dxf>
    <dxf>
      <font>
        <b/>
        <color theme="0"/>
      </font>
      <fill>
        <patternFill patternType="solid">
          <fgColor theme="5"/>
          <bgColor theme="3"/>
        </patternFill>
      </fill>
      <border>
        <top style="medium">
          <color theme="5" tint="-0.249977111117893"/>
        </top>
      </border>
    </dxf>
    <dxf>
      <font>
        <color theme="1"/>
      </font>
    </dxf>
    <dxf>
      <font>
        <b/>
        <i val="0"/>
        <color auto="1"/>
      </font>
      <fill>
        <patternFill patternType="none">
          <bgColor auto="1"/>
        </patternFill>
      </fill>
      <border diagonalUp="0" diagonalDown="0">
        <left/>
        <right/>
        <top/>
        <bottom/>
        <vertical/>
        <horizontal/>
      </border>
    </dxf>
    <dxf>
      <font>
        <color theme="1"/>
      </font>
      <border diagonalUp="0" diagonalDown="0">
        <left/>
        <right/>
        <top/>
        <bottom/>
        <vertical/>
        <horizontal/>
      </border>
    </dxf>
  </dxfs>
  <tableStyles count="2" defaultTableStyle="TableStyleMedium9" defaultPivotStyle="PivotStyleLight16">
    <tableStyle name="CustomSlicer" pivot="0" table="0" count="2" xr9:uid="{00000000-0011-0000-FFFF-FFFF00000000}">
      <tableStyleElement type="wholeTable" dxfId="13"/>
      <tableStyleElement type="headerRow" dxfId="12"/>
    </tableStyle>
    <tableStyle name="iMSDStyle" table="0" count="12" xr9:uid="{00000000-0011-0000-FFFF-FFFF01000000}">
      <tableStyleElement type="wholeTable" dxfId="11"/>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83AC"/>
      <color rgb="FFFF66CC"/>
      <color rgb="FF0000FF"/>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28575</xdr:rowOff>
    </xdr:from>
    <xdr:to>
      <xdr:col>0</xdr:col>
      <xdr:colOff>1009650</xdr:colOff>
      <xdr:row>12</xdr:row>
      <xdr:rowOff>438150</xdr:rowOff>
    </xdr:to>
    <xdr:pic>
      <xdr:nvPicPr>
        <xdr:cNvPr id="2" name="Picture 2" descr="cc-by">
          <a:extLst>
            <a:ext uri="{FF2B5EF4-FFF2-40B4-BE49-F238E27FC236}">
              <a16:creationId xmlns:a16="http://schemas.microsoft.com/office/drawing/2014/main" id="{16358F68-929D-457F-9C27-667EDFE44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57400"/>
          <a:ext cx="10096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reasury.govt.nz/publications/efu/budget-economic-and-fiscal-update-2026" TargetMode="External"/><Relationship Id="rId1" Type="http://schemas.openxmlformats.org/officeDocument/2006/relationships/hyperlink" Target="http://www.budget.govt.nz/budget/forecasts/befu2026.ht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L:\2025-26\5.%20BEFU%202026\3%20-%20Finals\10%20-%20Expense%20Tables\2%20-%20Summary%20Tables\Unlinked\Core%20Crown%20Expense%20Tables%20-%20BEFU%202026%20(finals%20unlinked%20-%20final%20version).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A51B-1C46-45CC-9934-A919F5AC2AFF}">
  <dimension ref="A1:A15"/>
  <sheetViews>
    <sheetView tabSelected="1" workbookViewId="0">
      <selection activeCell="A10" sqref="A10"/>
    </sheetView>
  </sheetViews>
  <sheetFormatPr defaultRowHeight="12.75"/>
  <cols>
    <col min="1" max="1" width="161.1640625" customWidth="1"/>
  </cols>
  <sheetData>
    <row r="1" spans="1:1" ht="18">
      <c r="A1" s="95" t="s">
        <v>225</v>
      </c>
    </row>
    <row r="2" spans="1:1">
      <c r="A2" s="96" t="s">
        <v>226</v>
      </c>
    </row>
    <row r="5" spans="1:1">
      <c r="A5" s="96" t="s">
        <v>221</v>
      </c>
    </row>
    <row r="6" spans="1:1">
      <c r="A6" s="97" t="s">
        <v>227</v>
      </c>
    </row>
    <row r="7" spans="1:1">
      <c r="A7" s="97" t="s">
        <v>228</v>
      </c>
    </row>
    <row r="9" spans="1:1" ht="14.25">
      <c r="A9" s="96" t="s">
        <v>234</v>
      </c>
    </row>
    <row r="12" spans="1:1">
      <c r="A12" s="98" t="s">
        <v>222</v>
      </c>
    </row>
    <row r="13" spans="1:1" ht="36.75" customHeight="1"/>
    <row r="14" spans="1:1" ht="25.5">
      <c r="A14" s="99" t="s">
        <v>223</v>
      </c>
    </row>
    <row r="15" spans="1:1" ht="38.25">
      <c r="A15" s="99" t="s">
        <v>224</v>
      </c>
    </row>
  </sheetData>
  <hyperlinks>
    <hyperlink ref="A7" r:id="rId1" xr:uid="{5CBF135B-42DB-401B-88C6-FFEECC8B2DCE}"/>
    <hyperlink ref="A6" r:id="rId2" xr:uid="{2E4B3534-5AA8-4C30-8C14-DE09E88C2D48}"/>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88"/>
  <sheetViews>
    <sheetView zoomScale="70" zoomScaleNormal="70" workbookViewId="0">
      <selection activeCell="R2" sqref="R2"/>
    </sheetView>
  </sheetViews>
  <sheetFormatPr defaultColWidth="9.33203125" defaultRowHeight="15.75"/>
  <cols>
    <col min="1" max="1" width="17.6640625" style="89" customWidth="1"/>
    <col min="2" max="2" width="2" style="22" customWidth="1"/>
    <col min="3" max="3" width="1" style="22" customWidth="1"/>
    <col min="4" max="4" width="73.6640625" style="10" customWidth="1"/>
    <col min="5" max="5" width="2.6640625" style="10" customWidth="1"/>
    <col min="6" max="15" width="15.6640625" style="12" customWidth="1"/>
    <col min="16" max="16" width="1.6640625" style="1" customWidth="1"/>
    <col min="17" max="16384" width="9.33203125" style="10"/>
  </cols>
  <sheetData>
    <row r="1" spans="1:16" s="78" customFormat="1">
      <c r="A1" s="89" t="s">
        <v>46</v>
      </c>
      <c r="B1" s="80"/>
      <c r="C1" s="80"/>
      <c r="F1" s="79"/>
      <c r="G1" s="79"/>
      <c r="H1" s="79"/>
      <c r="I1" s="79"/>
      <c r="J1" s="79"/>
      <c r="K1" s="79"/>
      <c r="L1" s="79"/>
      <c r="M1" s="79"/>
      <c r="N1" s="79"/>
      <c r="O1" s="79"/>
      <c r="P1" s="81"/>
    </row>
    <row r="2" spans="1:16" ht="18">
      <c r="B2" s="65"/>
      <c r="D2" s="77"/>
      <c r="P2" s="12"/>
    </row>
    <row r="3" spans="1:16" ht="7.5" customHeight="1"/>
    <row r="4" spans="1:16">
      <c r="B4" s="10"/>
      <c r="C4" s="27"/>
      <c r="D4" s="28"/>
      <c r="E4" s="28"/>
      <c r="F4" s="29"/>
      <c r="G4" s="29"/>
      <c r="H4" s="29"/>
      <c r="I4" s="29"/>
      <c r="J4" s="29"/>
      <c r="K4" s="29"/>
      <c r="L4" s="29"/>
      <c r="M4" s="29"/>
      <c r="N4" s="29"/>
      <c r="O4" s="29"/>
      <c r="P4" s="30"/>
    </row>
    <row r="5" spans="1:16">
      <c r="B5" s="10"/>
      <c r="C5" s="31"/>
      <c r="D5" s="20"/>
      <c r="F5" s="32" t="s">
        <v>76</v>
      </c>
      <c r="G5" s="32" t="s">
        <v>77</v>
      </c>
      <c r="H5" s="32" t="s">
        <v>79</v>
      </c>
      <c r="I5" s="32" t="s">
        <v>80</v>
      </c>
      <c r="J5" s="32" t="s">
        <v>88</v>
      </c>
      <c r="K5" s="32" t="s">
        <v>113</v>
      </c>
      <c r="L5" s="32" t="s">
        <v>129</v>
      </c>
      <c r="M5" s="32" t="s">
        <v>138</v>
      </c>
      <c r="N5" s="32" t="s">
        <v>181</v>
      </c>
      <c r="O5" s="32" t="s">
        <v>188</v>
      </c>
      <c r="P5" s="33"/>
    </row>
    <row r="6" spans="1:16" s="25" customFormat="1" ht="32.25" customHeight="1">
      <c r="A6" s="89"/>
      <c r="C6" s="34"/>
      <c r="D6" s="63" t="s">
        <v>60</v>
      </c>
      <c r="E6" s="63"/>
      <c r="F6" s="35" t="s">
        <v>0</v>
      </c>
      <c r="G6" s="35" t="s">
        <v>0</v>
      </c>
      <c r="H6" s="35" t="s">
        <v>0</v>
      </c>
      <c r="I6" s="35" t="s">
        <v>0</v>
      </c>
      <c r="J6" s="35" t="s">
        <v>0</v>
      </c>
      <c r="K6" s="35" t="s">
        <v>1</v>
      </c>
      <c r="L6" s="35" t="s">
        <v>1</v>
      </c>
      <c r="M6" s="35" t="s">
        <v>1</v>
      </c>
      <c r="N6" s="35" t="s">
        <v>1</v>
      </c>
      <c r="O6" s="35" t="s">
        <v>1</v>
      </c>
      <c r="P6" s="36"/>
    </row>
    <row r="7" spans="1:16">
      <c r="B7" s="10"/>
      <c r="C7" s="31"/>
      <c r="E7" s="20"/>
      <c r="F7" s="37"/>
      <c r="G7" s="37"/>
      <c r="H7" s="37"/>
      <c r="I7" s="37"/>
      <c r="J7" s="37"/>
      <c r="K7" s="37"/>
      <c r="L7" s="37"/>
      <c r="M7" s="37"/>
      <c r="N7" s="37"/>
      <c r="O7" s="37"/>
      <c r="P7" s="38"/>
    </row>
    <row r="8" spans="1:16">
      <c r="B8" s="10"/>
      <c r="C8" s="31"/>
      <c r="D8" s="10" t="s">
        <v>20</v>
      </c>
      <c r="F8" s="17">
        <v>36759</v>
      </c>
      <c r="G8" s="12">
        <v>42860</v>
      </c>
      <c r="H8" s="17">
        <v>41514</v>
      </c>
      <c r="I8" s="17">
        <v>44589</v>
      </c>
      <c r="J8" s="17">
        <v>47503</v>
      </c>
      <c r="K8" s="17">
        <v>50451</v>
      </c>
      <c r="L8" s="17">
        <v>53497</v>
      </c>
      <c r="M8" s="17">
        <v>55072</v>
      </c>
      <c r="N8" s="12">
        <v>56184</v>
      </c>
      <c r="O8" s="12">
        <v>57813</v>
      </c>
      <c r="P8" s="33">
        <v>47503</v>
      </c>
    </row>
    <row r="9" spans="1:16">
      <c r="B9" s="10"/>
      <c r="C9" s="31"/>
      <c r="D9" s="10" t="s">
        <v>21</v>
      </c>
      <c r="F9" s="17">
        <v>22784</v>
      </c>
      <c r="G9" s="12">
        <v>27781</v>
      </c>
      <c r="H9" s="17">
        <v>28489</v>
      </c>
      <c r="I9" s="17">
        <v>29999</v>
      </c>
      <c r="J9" s="17">
        <v>30311</v>
      </c>
      <c r="K9" s="17">
        <v>33210</v>
      </c>
      <c r="L9" s="17">
        <v>34196</v>
      </c>
      <c r="M9" s="17">
        <v>34083</v>
      </c>
      <c r="N9" s="12">
        <v>34197</v>
      </c>
      <c r="O9" s="12">
        <v>34268</v>
      </c>
      <c r="P9" s="33"/>
    </row>
    <row r="10" spans="1:16">
      <c r="B10" s="10"/>
      <c r="C10" s="31"/>
      <c r="D10" s="10" t="s">
        <v>22</v>
      </c>
      <c r="F10" s="17">
        <v>16039</v>
      </c>
      <c r="G10" s="12">
        <v>18023</v>
      </c>
      <c r="H10" s="17">
        <v>18403</v>
      </c>
      <c r="I10" s="17">
        <v>20223</v>
      </c>
      <c r="J10" s="17">
        <v>20895</v>
      </c>
      <c r="K10" s="17">
        <v>21540</v>
      </c>
      <c r="L10" s="17">
        <v>22444</v>
      </c>
      <c r="M10" s="17">
        <v>22264</v>
      </c>
      <c r="N10" s="12">
        <v>21962</v>
      </c>
      <c r="O10" s="12">
        <v>21780</v>
      </c>
      <c r="P10" s="33"/>
    </row>
    <row r="11" spans="1:16">
      <c r="B11" s="10"/>
      <c r="C11" s="31"/>
      <c r="D11" s="10" t="s">
        <v>23</v>
      </c>
      <c r="F11" s="17">
        <v>5754</v>
      </c>
      <c r="G11" s="12">
        <v>5720</v>
      </c>
      <c r="H11" s="17">
        <v>6806</v>
      </c>
      <c r="I11" s="17">
        <v>8468</v>
      </c>
      <c r="J11" s="17">
        <v>7908</v>
      </c>
      <c r="K11" s="17">
        <v>6597</v>
      </c>
      <c r="L11" s="17">
        <v>6632</v>
      </c>
      <c r="M11" s="17">
        <v>6339</v>
      </c>
      <c r="N11" s="12">
        <v>6295</v>
      </c>
      <c r="O11" s="12">
        <v>6304</v>
      </c>
      <c r="P11" s="33"/>
    </row>
    <row r="12" spans="1:16">
      <c r="B12" s="10"/>
      <c r="C12" s="31"/>
      <c r="D12" s="10" t="s">
        <v>24</v>
      </c>
      <c r="F12" s="17">
        <v>5202</v>
      </c>
      <c r="G12" s="12">
        <v>5444</v>
      </c>
      <c r="H12" s="17">
        <v>6165</v>
      </c>
      <c r="I12" s="17">
        <v>6527</v>
      </c>
      <c r="J12" s="17">
        <v>6734</v>
      </c>
      <c r="K12" s="17">
        <v>7282</v>
      </c>
      <c r="L12" s="17">
        <v>7621</v>
      </c>
      <c r="M12" s="17">
        <v>7430</v>
      </c>
      <c r="N12" s="12">
        <v>7283</v>
      </c>
      <c r="O12" s="12">
        <v>7275</v>
      </c>
      <c r="P12" s="33"/>
    </row>
    <row r="13" spans="1:16">
      <c r="B13" s="10"/>
      <c r="C13" s="31"/>
      <c r="D13" s="10" t="s">
        <v>25</v>
      </c>
      <c r="F13" s="17">
        <v>5656</v>
      </c>
      <c r="G13" s="12">
        <v>4657</v>
      </c>
      <c r="H13" s="17">
        <v>5472</v>
      </c>
      <c r="I13" s="17">
        <v>5487</v>
      </c>
      <c r="J13" s="17">
        <v>5472</v>
      </c>
      <c r="K13" s="17">
        <v>6074</v>
      </c>
      <c r="L13" s="17">
        <v>5110</v>
      </c>
      <c r="M13" s="17">
        <v>5407</v>
      </c>
      <c r="N13" s="12">
        <v>5648</v>
      </c>
      <c r="O13" s="12">
        <v>5601</v>
      </c>
      <c r="P13" s="33"/>
    </row>
    <row r="14" spans="1:16">
      <c r="B14" s="10"/>
      <c r="C14" s="31"/>
      <c r="D14" s="10" t="s">
        <v>26</v>
      </c>
      <c r="F14" s="17">
        <v>4481</v>
      </c>
      <c r="G14" s="12">
        <v>8078</v>
      </c>
      <c r="H14" s="17">
        <v>3690</v>
      </c>
      <c r="I14" s="17">
        <v>4010</v>
      </c>
      <c r="J14" s="17">
        <v>3514</v>
      </c>
      <c r="K14" s="17">
        <v>3501</v>
      </c>
      <c r="L14" s="17">
        <v>3445</v>
      </c>
      <c r="M14" s="17">
        <v>3114</v>
      </c>
      <c r="N14" s="12">
        <v>3285</v>
      </c>
      <c r="O14" s="12">
        <v>3310</v>
      </c>
      <c r="P14" s="33"/>
    </row>
    <row r="15" spans="1:16">
      <c r="B15" s="10"/>
      <c r="C15" s="31"/>
      <c r="D15" s="10" t="s">
        <v>19</v>
      </c>
      <c r="F15" s="17">
        <v>2664</v>
      </c>
      <c r="G15" s="12">
        <v>2832</v>
      </c>
      <c r="H15" s="17">
        <v>2886</v>
      </c>
      <c r="I15" s="17">
        <v>3163</v>
      </c>
      <c r="J15" s="17">
        <v>3271</v>
      </c>
      <c r="K15" s="17">
        <v>3597</v>
      </c>
      <c r="L15" s="17">
        <v>3834</v>
      </c>
      <c r="M15" s="17">
        <v>3838</v>
      </c>
      <c r="N15" s="12">
        <v>3889</v>
      </c>
      <c r="O15" s="12">
        <v>3893</v>
      </c>
      <c r="P15" s="33"/>
    </row>
    <row r="16" spans="1:16">
      <c r="B16" s="10"/>
      <c r="C16" s="31"/>
      <c r="D16" s="10" t="s">
        <v>28</v>
      </c>
      <c r="F16" s="17">
        <v>1420</v>
      </c>
      <c r="G16" s="12">
        <v>1468</v>
      </c>
      <c r="H16" s="17">
        <v>1537</v>
      </c>
      <c r="I16" s="17">
        <v>1504</v>
      </c>
      <c r="J16" s="17">
        <v>1457</v>
      </c>
      <c r="K16" s="17">
        <v>1442</v>
      </c>
      <c r="L16" s="17">
        <v>1440</v>
      </c>
      <c r="M16" s="17">
        <v>1412</v>
      </c>
      <c r="N16" s="12">
        <v>1387</v>
      </c>
      <c r="O16" s="12">
        <v>1374</v>
      </c>
      <c r="P16" s="33"/>
    </row>
    <row r="17" spans="1:16">
      <c r="B17" s="10"/>
      <c r="C17" s="31"/>
      <c r="D17" s="10" t="s">
        <v>27</v>
      </c>
      <c r="F17" s="17">
        <v>1015</v>
      </c>
      <c r="G17" s="12">
        <v>949</v>
      </c>
      <c r="H17" s="17">
        <v>1156</v>
      </c>
      <c r="I17" s="17">
        <v>1062</v>
      </c>
      <c r="J17" s="17">
        <v>996</v>
      </c>
      <c r="K17" s="17">
        <v>1301</v>
      </c>
      <c r="L17" s="17">
        <v>1204</v>
      </c>
      <c r="M17" s="17">
        <v>1125</v>
      </c>
      <c r="N17" s="12">
        <v>1112</v>
      </c>
      <c r="O17" s="12">
        <v>1166</v>
      </c>
      <c r="P17" s="33"/>
    </row>
    <row r="18" spans="1:16">
      <c r="B18" s="10"/>
      <c r="C18" s="31"/>
      <c r="D18" s="10" t="s">
        <v>45</v>
      </c>
      <c r="F18" s="17">
        <v>1813</v>
      </c>
      <c r="G18" s="12">
        <v>2033</v>
      </c>
      <c r="H18" s="17">
        <v>2312</v>
      </c>
      <c r="I18" s="17">
        <v>2512</v>
      </c>
      <c r="J18" s="17">
        <v>2150</v>
      </c>
      <c r="K18" s="17">
        <v>2212</v>
      </c>
      <c r="L18" s="17">
        <v>2005</v>
      </c>
      <c r="M18" s="17">
        <v>1900</v>
      </c>
      <c r="N18" s="12">
        <v>1995</v>
      </c>
      <c r="O18" s="12">
        <v>1736</v>
      </c>
      <c r="P18" s="33"/>
    </row>
    <row r="19" spans="1:16">
      <c r="B19" s="10"/>
      <c r="C19" s="31"/>
      <c r="D19" s="10" t="s">
        <v>71</v>
      </c>
      <c r="F19" s="17">
        <v>1906</v>
      </c>
      <c r="G19" s="12">
        <v>2549</v>
      </c>
      <c r="H19" s="17">
        <v>2381</v>
      </c>
      <c r="I19" s="17">
        <v>2297</v>
      </c>
      <c r="J19" s="17">
        <v>2410</v>
      </c>
      <c r="K19" s="17">
        <v>2382</v>
      </c>
      <c r="L19" s="17">
        <v>2421</v>
      </c>
      <c r="M19" s="17">
        <v>2317</v>
      </c>
      <c r="N19" s="12">
        <v>2284</v>
      </c>
      <c r="O19" s="12">
        <v>2201</v>
      </c>
      <c r="P19" s="33"/>
    </row>
    <row r="20" spans="1:16">
      <c r="B20" s="10"/>
      <c r="C20" s="31"/>
      <c r="D20" s="39" t="s">
        <v>34</v>
      </c>
      <c r="F20" s="17">
        <v>99</v>
      </c>
      <c r="G20" s="12">
        <v>94</v>
      </c>
      <c r="H20" s="17">
        <v>61</v>
      </c>
      <c r="I20" s="17">
        <v>69</v>
      </c>
      <c r="J20" s="17">
        <v>65</v>
      </c>
      <c r="K20" s="17">
        <v>50</v>
      </c>
      <c r="L20" s="17">
        <v>58</v>
      </c>
      <c r="M20" s="17">
        <v>56</v>
      </c>
      <c r="N20" s="12">
        <v>54</v>
      </c>
      <c r="O20" s="12">
        <v>52</v>
      </c>
      <c r="P20" s="33"/>
    </row>
    <row r="21" spans="1:16">
      <c r="B21" s="10"/>
      <c r="C21" s="31"/>
      <c r="D21" s="10" t="s">
        <v>29</v>
      </c>
      <c r="F21" s="17">
        <v>254</v>
      </c>
      <c r="G21" s="12">
        <v>269</v>
      </c>
      <c r="H21" s="17">
        <v>133</v>
      </c>
      <c r="I21" s="17">
        <v>145</v>
      </c>
      <c r="J21" s="17">
        <v>127</v>
      </c>
      <c r="K21" s="17">
        <v>239</v>
      </c>
      <c r="L21" s="17">
        <v>161</v>
      </c>
      <c r="M21" s="17">
        <v>314</v>
      </c>
      <c r="N21" s="12">
        <v>310</v>
      </c>
      <c r="O21" s="12">
        <v>310</v>
      </c>
      <c r="P21" s="33"/>
    </row>
    <row r="22" spans="1:16">
      <c r="B22" s="10"/>
      <c r="C22" s="31"/>
      <c r="D22" s="10" t="s">
        <v>30</v>
      </c>
      <c r="F22" s="17">
        <v>1918</v>
      </c>
      <c r="G22" s="12">
        <v>2884</v>
      </c>
      <c r="H22" s="17">
        <v>6569</v>
      </c>
      <c r="I22" s="17">
        <v>8943</v>
      </c>
      <c r="J22" s="17">
        <v>8862</v>
      </c>
      <c r="K22" s="17">
        <v>9061</v>
      </c>
      <c r="L22" s="17">
        <v>10196</v>
      </c>
      <c r="M22" s="17">
        <v>11572</v>
      </c>
      <c r="N22" s="12">
        <v>12777</v>
      </c>
      <c r="O22" s="12">
        <v>13910</v>
      </c>
      <c r="P22" s="33"/>
    </row>
    <row r="23" spans="1:16">
      <c r="B23" s="10"/>
      <c r="C23" s="31"/>
      <c r="D23" s="10" t="s">
        <v>75</v>
      </c>
      <c r="F23" s="17">
        <v>0</v>
      </c>
      <c r="G23" s="17">
        <v>0</v>
      </c>
      <c r="H23" s="17">
        <v>0</v>
      </c>
      <c r="I23" s="17">
        <v>0</v>
      </c>
      <c r="J23" s="17">
        <v>0</v>
      </c>
      <c r="K23" s="17">
        <v>0</v>
      </c>
      <c r="L23" s="17">
        <v>1959</v>
      </c>
      <c r="M23" s="17">
        <v>3145</v>
      </c>
      <c r="N23" s="12">
        <v>4705</v>
      </c>
      <c r="O23" s="12">
        <v>7499</v>
      </c>
      <c r="P23" s="33"/>
    </row>
    <row r="24" spans="1:16" ht="16.149999999999999" customHeight="1">
      <c r="B24" s="10"/>
      <c r="C24" s="31"/>
      <c r="D24" s="10" t="s">
        <v>89</v>
      </c>
      <c r="F24" s="17">
        <v>0</v>
      </c>
      <c r="G24" s="17">
        <v>0</v>
      </c>
      <c r="H24" s="17">
        <v>0</v>
      </c>
      <c r="I24" s="17">
        <v>0</v>
      </c>
      <c r="J24" s="17">
        <v>0</v>
      </c>
      <c r="K24" s="17">
        <v>-1700</v>
      </c>
      <c r="L24" s="17">
        <v>-1400</v>
      </c>
      <c r="M24" s="17">
        <v>-600</v>
      </c>
      <c r="N24" s="17">
        <v>-600</v>
      </c>
      <c r="O24" s="17">
        <v>-600</v>
      </c>
      <c r="P24" s="33"/>
    </row>
    <row r="25" spans="1:16" ht="16.5" thickBot="1">
      <c r="B25" s="10"/>
      <c r="C25" s="31"/>
      <c r="F25" s="45"/>
      <c r="G25" s="45"/>
      <c r="H25" s="45"/>
      <c r="I25" s="45"/>
      <c r="J25" s="45"/>
      <c r="K25" s="45"/>
      <c r="L25" s="45"/>
      <c r="M25" s="45"/>
      <c r="N25" s="45"/>
      <c r="O25" s="45"/>
      <c r="P25" s="33"/>
    </row>
    <row r="26" spans="1:16" s="83" customFormat="1" ht="18" customHeight="1" thickBot="1">
      <c r="A26" s="89"/>
      <c r="C26" s="84"/>
      <c r="D26" s="85" t="s">
        <v>44</v>
      </c>
      <c r="F26" s="86">
        <f t="shared" ref="F26:I26" si="0">SUM(F8:F24)</f>
        <v>107764</v>
      </c>
      <c r="G26" s="86">
        <f t="shared" si="0"/>
        <v>125641</v>
      </c>
      <c r="H26" s="86">
        <f>SUM(H8:H24)</f>
        <v>127574</v>
      </c>
      <c r="I26" s="86">
        <f t="shared" si="0"/>
        <v>138998</v>
      </c>
      <c r="J26" s="86">
        <f>SUM(J8:J24)</f>
        <v>141675</v>
      </c>
      <c r="K26" s="86">
        <f t="shared" ref="K26:O26" si="1">SUM(K8:K24)</f>
        <v>147239</v>
      </c>
      <c r="L26" s="86">
        <f t="shared" si="1"/>
        <v>154823</v>
      </c>
      <c r="M26" s="86">
        <f t="shared" si="1"/>
        <v>158788</v>
      </c>
      <c r="N26" s="86">
        <f t="shared" ref="N26" si="2">SUM(N8:N24)</f>
        <v>162767</v>
      </c>
      <c r="O26" s="86">
        <f t="shared" si="1"/>
        <v>167892</v>
      </c>
      <c r="P26" s="87"/>
    </row>
    <row r="27" spans="1:16">
      <c r="B27" s="10"/>
      <c r="C27" s="40"/>
      <c r="D27" s="41"/>
      <c r="E27" s="41"/>
      <c r="F27" s="42"/>
      <c r="G27" s="42"/>
      <c r="H27" s="42"/>
      <c r="I27" s="42"/>
      <c r="J27" s="42"/>
      <c r="K27" s="42"/>
      <c r="L27" s="42"/>
      <c r="M27" s="42"/>
      <c r="N27" s="42"/>
      <c r="O27" s="42"/>
      <c r="P27" s="43"/>
    </row>
    <row r="29" spans="1:16" ht="15.6" customHeight="1">
      <c r="D29" s="10" t="s">
        <v>171</v>
      </c>
      <c r="F29" s="10"/>
      <c r="G29" s="10"/>
      <c r="H29" s="10"/>
      <c r="I29" s="10"/>
      <c r="J29" s="10"/>
    </row>
    <row r="30" spans="1:16" ht="15.75" customHeight="1">
      <c r="D30" s="100" t="s">
        <v>170</v>
      </c>
      <c r="E30" s="100"/>
      <c r="F30" s="100"/>
      <c r="G30" s="100"/>
      <c r="H30" s="100"/>
      <c r="I30" s="100"/>
      <c r="J30" s="100"/>
      <c r="K30" s="100"/>
      <c r="L30" s="100"/>
      <c r="M30" s="100"/>
      <c r="N30" s="100"/>
      <c r="O30" s="100"/>
    </row>
    <row r="31" spans="1:16">
      <c r="D31" s="25"/>
      <c r="E31" s="25"/>
      <c r="F31" s="25"/>
      <c r="G31" s="25"/>
      <c r="H31" s="25"/>
      <c r="I31" s="25"/>
      <c r="J31" s="25"/>
    </row>
    <row r="32" spans="1:16" ht="18">
      <c r="D32" s="66" t="s">
        <v>229</v>
      </c>
      <c r="E32" s="67"/>
      <c r="F32" s="67"/>
      <c r="G32" s="67"/>
      <c r="H32" s="67"/>
      <c r="N32" s="67"/>
      <c r="O32" s="67"/>
    </row>
    <row r="33" spans="1:16">
      <c r="D33" s="68"/>
      <c r="E33" s="67"/>
      <c r="F33" s="67"/>
      <c r="G33" s="67"/>
      <c r="H33" s="67"/>
    </row>
    <row r="34" spans="1:16">
      <c r="A34" s="89" t="s">
        <v>90</v>
      </c>
      <c r="D34" s="20" t="s">
        <v>33</v>
      </c>
      <c r="E34" s="20"/>
      <c r="N34" s="10"/>
      <c r="O34" s="10"/>
      <c r="P34" s="10"/>
    </row>
    <row r="35" spans="1:16" s="21" customFormat="1" ht="15.6" customHeight="1">
      <c r="A35" s="89"/>
      <c r="B35" s="22"/>
      <c r="C35" s="22"/>
      <c r="D35" s="20"/>
      <c r="F35" s="32" t="str">
        <f t="shared" ref="F35:O35" si="3">F5</f>
        <v>2021</v>
      </c>
      <c r="G35" s="32" t="str">
        <f t="shared" si="3"/>
        <v>2022</v>
      </c>
      <c r="H35" s="32" t="str">
        <f t="shared" si="3"/>
        <v>2023</v>
      </c>
      <c r="I35" s="32" t="str">
        <f t="shared" si="3"/>
        <v>2024</v>
      </c>
      <c r="J35" s="32" t="str">
        <f t="shared" si="3"/>
        <v>2025</v>
      </c>
      <c r="K35" s="32" t="str">
        <f t="shared" si="3"/>
        <v>2026</v>
      </c>
      <c r="L35" s="32" t="str">
        <f t="shared" si="3"/>
        <v>2027</v>
      </c>
      <c r="M35" s="32" t="str">
        <f t="shared" si="3"/>
        <v>2028</v>
      </c>
      <c r="N35" s="32" t="str">
        <f t="shared" si="3"/>
        <v>2029</v>
      </c>
      <c r="O35" s="32" t="str">
        <f t="shared" si="3"/>
        <v>2030</v>
      </c>
    </row>
    <row r="36" spans="1:16" s="26" customFormat="1">
      <c r="A36" s="89"/>
      <c r="B36" s="69"/>
      <c r="C36" s="69"/>
      <c r="D36" s="63" t="s">
        <v>60</v>
      </c>
      <c r="F36" s="44" t="s">
        <v>0</v>
      </c>
      <c r="G36" s="44" t="s">
        <v>0</v>
      </c>
      <c r="H36" s="44" t="s">
        <v>0</v>
      </c>
      <c r="I36" s="44" t="s">
        <v>0</v>
      </c>
      <c r="J36" s="44" t="str">
        <f>J6</f>
        <v>Actual</v>
      </c>
      <c r="K36" s="44" t="s">
        <v>1</v>
      </c>
      <c r="L36" s="44" t="s">
        <v>1</v>
      </c>
      <c r="M36" s="44" t="s">
        <v>1</v>
      </c>
      <c r="N36" s="44" t="s">
        <v>1</v>
      </c>
      <c r="O36" s="44" t="s">
        <v>1</v>
      </c>
    </row>
    <row r="37" spans="1:16">
      <c r="N37" s="10"/>
      <c r="O37" s="10"/>
    </row>
    <row r="38" spans="1:16" ht="18.75">
      <c r="D38" s="10" t="s">
        <v>201</v>
      </c>
      <c r="F38" s="10">
        <v>33671</v>
      </c>
      <c r="G38" s="10">
        <v>39187</v>
      </c>
      <c r="H38" s="10">
        <v>37576</v>
      </c>
      <c r="I38" s="10">
        <v>40294</v>
      </c>
      <c r="J38" s="10">
        <v>43525</v>
      </c>
      <c r="K38" s="10">
        <v>46244</v>
      </c>
      <c r="L38" s="10">
        <v>48944</v>
      </c>
      <c r="M38" s="10">
        <v>50614</v>
      </c>
      <c r="N38" s="10">
        <v>51799</v>
      </c>
      <c r="O38" s="10">
        <v>53705</v>
      </c>
      <c r="P38" s="4">
        <v>49084</v>
      </c>
    </row>
    <row r="39" spans="1:16">
      <c r="D39" s="10" t="s">
        <v>2</v>
      </c>
      <c r="F39" s="10">
        <v>2424</v>
      </c>
      <c r="G39" s="10">
        <v>2747</v>
      </c>
      <c r="H39" s="10">
        <v>2782</v>
      </c>
      <c r="I39" s="10">
        <v>3013</v>
      </c>
      <c r="J39" s="10">
        <v>2782</v>
      </c>
      <c r="K39" s="10">
        <v>3033</v>
      </c>
      <c r="L39" s="10">
        <v>3260</v>
      </c>
      <c r="M39" s="10">
        <v>3203</v>
      </c>
      <c r="N39" s="10">
        <v>3143</v>
      </c>
      <c r="O39" s="10">
        <v>2815</v>
      </c>
      <c r="P39" s="4">
        <v>2636</v>
      </c>
    </row>
    <row r="40" spans="1:16">
      <c r="D40" s="10" t="s">
        <v>56</v>
      </c>
      <c r="F40" s="10">
        <v>333</v>
      </c>
      <c r="G40" s="10">
        <v>358</v>
      </c>
      <c r="H40" s="10">
        <v>386</v>
      </c>
      <c r="I40" s="10">
        <v>415</v>
      </c>
      <c r="J40" s="10">
        <v>447</v>
      </c>
      <c r="K40" s="10">
        <v>481</v>
      </c>
      <c r="L40" s="10">
        <v>516</v>
      </c>
      <c r="M40" s="10">
        <v>555</v>
      </c>
      <c r="N40" s="10">
        <v>597</v>
      </c>
      <c r="O40" s="10">
        <v>642</v>
      </c>
      <c r="P40" s="4">
        <v>553</v>
      </c>
    </row>
    <row r="41" spans="1:16">
      <c r="D41" s="10" t="s">
        <v>106</v>
      </c>
      <c r="F41" s="13">
        <v>8</v>
      </c>
      <c r="G41" s="10">
        <v>59</v>
      </c>
      <c r="H41" s="10">
        <v>52</v>
      </c>
      <c r="I41" s="10">
        <v>25</v>
      </c>
      <c r="J41" s="10">
        <v>27</v>
      </c>
      <c r="K41" s="13">
        <v>0</v>
      </c>
      <c r="L41" s="13">
        <v>0</v>
      </c>
      <c r="M41" s="13">
        <v>0</v>
      </c>
      <c r="N41" s="13">
        <v>0</v>
      </c>
      <c r="O41" s="13">
        <v>0</v>
      </c>
      <c r="P41" s="4">
        <v>0</v>
      </c>
    </row>
    <row r="42" spans="1:16">
      <c r="D42" s="10" t="s">
        <v>107</v>
      </c>
      <c r="F42" s="10">
        <v>182</v>
      </c>
      <c r="G42" s="13">
        <v>0</v>
      </c>
      <c r="H42" s="13">
        <v>0</v>
      </c>
      <c r="I42" s="13">
        <v>0</v>
      </c>
      <c r="J42" s="13"/>
      <c r="K42" s="13">
        <v>0</v>
      </c>
      <c r="L42" s="13">
        <v>0</v>
      </c>
      <c r="M42" s="13">
        <v>0</v>
      </c>
      <c r="N42" s="13">
        <v>0</v>
      </c>
      <c r="O42" s="13">
        <v>0</v>
      </c>
      <c r="P42" s="4">
        <v>0</v>
      </c>
    </row>
    <row r="43" spans="1:16" ht="18.75">
      <c r="D43" s="10" t="s">
        <v>202</v>
      </c>
      <c r="F43" s="10">
        <v>141</v>
      </c>
      <c r="G43" s="10">
        <v>509</v>
      </c>
      <c r="H43" s="10">
        <v>718</v>
      </c>
      <c r="I43" s="10">
        <v>842</v>
      </c>
      <c r="J43" s="10">
        <v>722</v>
      </c>
      <c r="K43" s="10">
        <v>693</v>
      </c>
      <c r="L43" s="10">
        <v>777</v>
      </c>
      <c r="M43" s="10">
        <v>700</v>
      </c>
      <c r="N43" s="10">
        <v>645</v>
      </c>
      <c r="O43" s="10">
        <v>651</v>
      </c>
      <c r="P43" s="4">
        <v>626</v>
      </c>
    </row>
    <row r="44" spans="1:16" ht="16.5" thickBot="1">
      <c r="F44" s="45"/>
      <c r="G44" s="45"/>
      <c r="H44" s="45"/>
      <c r="I44" s="45"/>
      <c r="J44" s="45"/>
      <c r="K44" s="45"/>
      <c r="L44" s="45"/>
      <c r="M44" s="45"/>
      <c r="N44" s="45"/>
      <c r="O44" s="45"/>
    </row>
    <row r="45" spans="1:16" s="83" customFormat="1" ht="18" customHeight="1" thickBot="1">
      <c r="A45" s="89"/>
      <c r="B45" s="88"/>
      <c r="C45" s="88"/>
      <c r="D45" s="101" t="s">
        <v>33</v>
      </c>
      <c r="E45" s="101"/>
      <c r="F45" s="86">
        <f t="shared" ref="F45:M45" si="4">SUM(F38:F43)</f>
        <v>36759</v>
      </c>
      <c r="G45" s="86">
        <f t="shared" si="4"/>
        <v>42860</v>
      </c>
      <c r="H45" s="86">
        <f t="shared" si="4"/>
        <v>41514</v>
      </c>
      <c r="I45" s="86">
        <f t="shared" si="4"/>
        <v>44589</v>
      </c>
      <c r="J45" s="86">
        <f t="shared" si="4"/>
        <v>47503</v>
      </c>
      <c r="K45" s="86">
        <f t="shared" si="4"/>
        <v>50451</v>
      </c>
      <c r="L45" s="86">
        <f t="shared" si="4"/>
        <v>53497</v>
      </c>
      <c r="M45" s="86">
        <f t="shared" si="4"/>
        <v>55072</v>
      </c>
      <c r="N45" s="86">
        <f>SUM(N38:N43)</f>
        <v>56184</v>
      </c>
      <c r="O45" s="86">
        <f>SUM(O38:O43)</f>
        <v>57813</v>
      </c>
      <c r="P45" s="9">
        <v>37369</v>
      </c>
    </row>
    <row r="46" spans="1:16">
      <c r="F46" s="16"/>
      <c r="G46" s="16"/>
      <c r="H46" s="10"/>
      <c r="I46" s="10"/>
      <c r="J46" s="10"/>
      <c r="K46" s="10"/>
      <c r="L46" s="10"/>
      <c r="M46" s="10"/>
      <c r="N46" s="10"/>
      <c r="O46" s="10"/>
      <c r="P46" s="10"/>
    </row>
    <row r="47" spans="1:16" s="47" customFormat="1" ht="15.6" customHeight="1">
      <c r="A47" s="89"/>
      <c r="B47" s="22"/>
      <c r="C47" s="22"/>
      <c r="D47" s="10" t="s">
        <v>174</v>
      </c>
      <c r="E47" s="10"/>
      <c r="F47" s="10"/>
      <c r="G47" s="10"/>
      <c r="H47" s="10"/>
      <c r="I47" s="10"/>
      <c r="J47" s="10"/>
      <c r="K47" s="46"/>
      <c r="L47" s="46"/>
      <c r="M47" s="46"/>
      <c r="P47" s="6"/>
    </row>
    <row r="48" spans="1:16" s="47" customFormat="1">
      <c r="A48" s="89"/>
      <c r="B48" s="22"/>
      <c r="C48" s="22"/>
      <c r="D48" s="10" t="s">
        <v>200</v>
      </c>
      <c r="E48" s="46"/>
      <c r="F48" s="46"/>
      <c r="G48" s="46"/>
      <c r="H48" s="46"/>
      <c r="I48" s="46"/>
      <c r="J48" s="46"/>
      <c r="K48" s="46"/>
      <c r="L48" s="46"/>
      <c r="M48" s="46"/>
      <c r="P48" s="6"/>
    </row>
    <row r="49" spans="1:16" s="47" customFormat="1">
      <c r="A49" s="89"/>
    </row>
    <row r="50" spans="1:16" s="47" customFormat="1" ht="18">
      <c r="A50" s="89"/>
      <c r="B50" s="22"/>
      <c r="C50" s="22"/>
      <c r="D50" s="66" t="s">
        <v>229</v>
      </c>
      <c r="E50" s="46"/>
      <c r="F50" s="46"/>
      <c r="G50" s="46"/>
      <c r="H50" s="46"/>
      <c r="I50" s="46"/>
      <c r="J50" s="46"/>
      <c r="K50" s="46"/>
      <c r="L50" s="46"/>
      <c r="M50" s="46"/>
      <c r="P50" s="6"/>
    </row>
    <row r="51" spans="1:16" s="21" customFormat="1">
      <c r="A51" s="89"/>
      <c r="B51" s="22"/>
      <c r="C51" s="22"/>
      <c r="D51" s="25"/>
      <c r="E51" s="46"/>
      <c r="F51" s="46"/>
      <c r="G51" s="46"/>
      <c r="H51" s="46"/>
      <c r="I51" s="46"/>
      <c r="J51" s="46"/>
      <c r="K51" s="46"/>
      <c r="L51" s="46"/>
      <c r="M51" s="46"/>
      <c r="N51" s="47"/>
      <c r="O51" s="47"/>
      <c r="P51" s="6"/>
    </row>
    <row r="52" spans="1:16" s="21" customFormat="1">
      <c r="A52" s="89" t="s">
        <v>91</v>
      </c>
      <c r="B52" s="22"/>
      <c r="C52" s="22"/>
      <c r="D52" s="20" t="s">
        <v>69</v>
      </c>
      <c r="E52" s="20"/>
      <c r="F52" s="12"/>
      <c r="G52" s="12"/>
      <c r="H52" s="12"/>
      <c r="I52" s="12"/>
      <c r="J52" s="12"/>
      <c r="K52" s="12"/>
      <c r="L52" s="12"/>
      <c r="M52" s="12"/>
      <c r="P52" s="2"/>
    </row>
    <row r="53" spans="1:16" s="25" customFormat="1">
      <c r="A53" s="89"/>
      <c r="B53" s="22"/>
      <c r="C53" s="22"/>
      <c r="D53" s="20"/>
      <c r="E53" s="21"/>
      <c r="F53" s="15" t="str">
        <f t="shared" ref="F53:O53" si="5">F$35</f>
        <v>2021</v>
      </c>
      <c r="G53" s="15" t="str">
        <f t="shared" si="5"/>
        <v>2022</v>
      </c>
      <c r="H53" s="15" t="str">
        <f t="shared" si="5"/>
        <v>2023</v>
      </c>
      <c r="I53" s="15" t="str">
        <f t="shared" si="5"/>
        <v>2024</v>
      </c>
      <c r="J53" s="15" t="str">
        <f t="shared" si="5"/>
        <v>2025</v>
      </c>
      <c r="K53" s="15" t="str">
        <f t="shared" si="5"/>
        <v>2026</v>
      </c>
      <c r="L53" s="15" t="str">
        <f t="shared" si="5"/>
        <v>2027</v>
      </c>
      <c r="M53" s="15" t="str">
        <f t="shared" si="5"/>
        <v>2028</v>
      </c>
      <c r="N53" s="15" t="str">
        <f t="shared" si="5"/>
        <v>2029</v>
      </c>
      <c r="O53" s="15" t="str">
        <f t="shared" si="5"/>
        <v>2030</v>
      </c>
      <c r="P53" s="3"/>
    </row>
    <row r="54" spans="1:16">
      <c r="B54" s="69"/>
      <c r="C54" s="69"/>
      <c r="D54" s="63" t="s">
        <v>60</v>
      </c>
      <c r="E54" s="26"/>
      <c r="F54" s="48" t="s">
        <v>0</v>
      </c>
      <c r="G54" s="48" t="s">
        <v>0</v>
      </c>
      <c r="H54" s="48" t="s">
        <v>0</v>
      </c>
      <c r="I54" s="48" t="s">
        <v>0</v>
      </c>
      <c r="J54" s="48" t="str">
        <f>J36</f>
        <v>Actual</v>
      </c>
      <c r="K54" s="48" t="s">
        <v>1</v>
      </c>
      <c r="L54" s="48" t="s">
        <v>1</v>
      </c>
      <c r="M54" s="48" t="s">
        <v>1</v>
      </c>
      <c r="N54" s="48" t="s">
        <v>1</v>
      </c>
      <c r="O54" s="48" t="s">
        <v>1</v>
      </c>
      <c r="P54" s="70"/>
    </row>
    <row r="55" spans="1:16">
      <c r="N55" s="10"/>
      <c r="O55" s="10"/>
      <c r="P55" s="4"/>
    </row>
    <row r="56" spans="1:16" ht="15.75" customHeight="1">
      <c r="D56" s="10" t="s">
        <v>4</v>
      </c>
      <c r="F56" s="13">
        <v>16569</v>
      </c>
      <c r="G56" s="13">
        <v>17764</v>
      </c>
      <c r="H56" s="13">
        <v>19517</v>
      </c>
      <c r="I56" s="13">
        <v>21574</v>
      </c>
      <c r="J56" s="13">
        <v>23191</v>
      </c>
      <c r="K56" s="13">
        <v>24730</v>
      </c>
      <c r="L56" s="13">
        <v>26481</v>
      </c>
      <c r="M56" s="13">
        <v>28324</v>
      </c>
      <c r="N56" s="13">
        <v>29715</v>
      </c>
      <c r="O56" s="13">
        <v>31207</v>
      </c>
      <c r="P56" s="4">
        <v>19798</v>
      </c>
    </row>
    <row r="57" spans="1:16" ht="15.75" customHeight="1">
      <c r="D57" s="10" t="s">
        <v>81</v>
      </c>
      <c r="F57" s="13">
        <v>3224</v>
      </c>
      <c r="G57" s="13">
        <v>3330</v>
      </c>
      <c r="H57" s="13">
        <v>3473</v>
      </c>
      <c r="I57" s="13">
        <v>4062</v>
      </c>
      <c r="J57" s="13">
        <v>4641</v>
      </c>
      <c r="K57" s="13">
        <v>4944</v>
      </c>
      <c r="L57" s="13">
        <v>5018</v>
      </c>
      <c r="M57" s="13">
        <v>4940</v>
      </c>
      <c r="N57" s="13">
        <v>4807</v>
      </c>
      <c r="O57" s="13">
        <v>4902</v>
      </c>
      <c r="P57" s="4">
        <v>2328</v>
      </c>
    </row>
    <row r="58" spans="1:16" ht="15.75" customHeight="1">
      <c r="D58" s="10" t="s">
        <v>154</v>
      </c>
      <c r="F58" s="13">
        <v>1826</v>
      </c>
      <c r="G58" s="13">
        <v>2047</v>
      </c>
      <c r="H58" s="13">
        <v>2311</v>
      </c>
      <c r="I58" s="13">
        <v>2530</v>
      </c>
      <c r="J58" s="13">
        <v>2668</v>
      </c>
      <c r="K58" s="13">
        <v>2830</v>
      </c>
      <c r="L58" s="13">
        <v>3023</v>
      </c>
      <c r="M58" s="13">
        <v>3199</v>
      </c>
      <c r="N58" s="13">
        <v>3295</v>
      </c>
      <c r="O58" s="13">
        <v>3437</v>
      </c>
      <c r="P58" s="4">
        <v>1845</v>
      </c>
    </row>
    <row r="59" spans="1:16">
      <c r="D59" s="10" t="s">
        <v>153</v>
      </c>
      <c r="F59" s="13">
        <v>1455</v>
      </c>
      <c r="G59" s="13">
        <v>1704</v>
      </c>
      <c r="H59" s="13">
        <v>1917</v>
      </c>
      <c r="I59" s="13">
        <v>2097</v>
      </c>
      <c r="J59" s="13">
        <v>2255</v>
      </c>
      <c r="K59" s="13">
        <v>2390</v>
      </c>
      <c r="L59" s="13">
        <v>2474</v>
      </c>
      <c r="M59" s="13">
        <v>2408</v>
      </c>
      <c r="N59" s="13">
        <v>2236</v>
      </c>
      <c r="O59" s="13">
        <v>2233</v>
      </c>
      <c r="P59" s="4">
        <v>1396</v>
      </c>
    </row>
    <row r="60" spans="1:16">
      <c r="D60" s="10" t="s">
        <v>47</v>
      </c>
      <c r="F60" s="13">
        <v>2103</v>
      </c>
      <c r="G60" s="13">
        <v>2017</v>
      </c>
      <c r="H60" s="13">
        <v>2151</v>
      </c>
      <c r="I60" s="13">
        <v>2297</v>
      </c>
      <c r="J60" s="13">
        <v>2434</v>
      </c>
      <c r="K60" s="13">
        <v>2449</v>
      </c>
      <c r="L60" s="13">
        <v>2585</v>
      </c>
      <c r="M60" s="13">
        <v>2619</v>
      </c>
      <c r="N60" s="13">
        <v>2700</v>
      </c>
      <c r="O60" s="13">
        <v>2653</v>
      </c>
      <c r="P60" s="4">
        <v>2164</v>
      </c>
    </row>
    <row r="61" spans="1:16">
      <c r="D61" s="10" t="s">
        <v>155</v>
      </c>
      <c r="F61" s="13">
        <v>585</v>
      </c>
      <c r="G61" s="13">
        <v>519</v>
      </c>
      <c r="H61" s="13">
        <v>476</v>
      </c>
      <c r="I61" s="13">
        <v>448</v>
      </c>
      <c r="J61" s="13">
        <v>561</v>
      </c>
      <c r="K61" s="13">
        <v>656</v>
      </c>
      <c r="L61" s="13">
        <v>852</v>
      </c>
      <c r="M61" s="13">
        <v>629</v>
      </c>
      <c r="N61" s="13">
        <v>602</v>
      </c>
      <c r="O61" s="13">
        <v>576</v>
      </c>
      <c r="P61" s="4">
        <v>624</v>
      </c>
    </row>
    <row r="62" spans="1:16">
      <c r="D62" s="10" t="s">
        <v>64</v>
      </c>
      <c r="F62" s="13">
        <v>2302</v>
      </c>
      <c r="G62" s="13">
        <v>2386</v>
      </c>
      <c r="H62" s="13">
        <v>2349</v>
      </c>
      <c r="I62" s="13">
        <v>2411</v>
      </c>
      <c r="J62" s="13">
        <v>2232</v>
      </c>
      <c r="K62" s="13">
        <v>2308</v>
      </c>
      <c r="L62" s="13">
        <v>2322</v>
      </c>
      <c r="M62" s="13">
        <v>2400</v>
      </c>
      <c r="N62" s="13">
        <v>2260</v>
      </c>
      <c r="O62" s="13">
        <v>2286</v>
      </c>
      <c r="P62" s="4">
        <v>2049</v>
      </c>
    </row>
    <row r="63" spans="1:16">
      <c r="D63" s="10" t="s">
        <v>57</v>
      </c>
      <c r="F63" s="13">
        <v>1202</v>
      </c>
      <c r="G63" s="13">
        <v>1323</v>
      </c>
      <c r="H63" s="13">
        <v>1322</v>
      </c>
      <c r="I63" s="13">
        <v>1517</v>
      </c>
      <c r="J63" s="13">
        <v>1752</v>
      </c>
      <c r="K63" s="13">
        <v>1800</v>
      </c>
      <c r="L63" s="13">
        <v>1893</v>
      </c>
      <c r="M63" s="13">
        <v>1888</v>
      </c>
      <c r="N63" s="13">
        <v>1885</v>
      </c>
      <c r="O63" s="13">
        <v>1940</v>
      </c>
      <c r="P63" s="4">
        <v>1316</v>
      </c>
    </row>
    <row r="64" spans="1:16">
      <c r="D64" s="10" t="s">
        <v>63</v>
      </c>
      <c r="F64" s="13">
        <v>409</v>
      </c>
      <c r="G64" s="13">
        <v>412</v>
      </c>
      <c r="H64" s="13">
        <v>431</v>
      </c>
      <c r="I64" s="13">
        <v>464</v>
      </c>
      <c r="J64" s="13">
        <v>492</v>
      </c>
      <c r="K64" s="13">
        <v>518</v>
      </c>
      <c r="L64" s="13">
        <v>533</v>
      </c>
      <c r="M64" s="13">
        <v>541</v>
      </c>
      <c r="N64" s="13">
        <v>538</v>
      </c>
      <c r="O64" s="13">
        <v>543</v>
      </c>
      <c r="P64" s="4">
        <v>400</v>
      </c>
    </row>
    <row r="65" spans="1:16">
      <c r="D65" s="10" t="s">
        <v>156</v>
      </c>
      <c r="F65" s="13">
        <v>812</v>
      </c>
      <c r="G65" s="13">
        <v>513</v>
      </c>
      <c r="H65" s="13">
        <v>519</v>
      </c>
      <c r="I65" s="13">
        <v>537</v>
      </c>
      <c r="J65" s="13">
        <v>562</v>
      </c>
      <c r="K65" s="13">
        <v>583</v>
      </c>
      <c r="L65" s="13">
        <v>595</v>
      </c>
      <c r="M65" s="13">
        <v>600</v>
      </c>
      <c r="N65" s="13">
        <v>609</v>
      </c>
      <c r="O65" s="13">
        <v>620</v>
      </c>
      <c r="P65" s="4">
        <v>505</v>
      </c>
    </row>
    <row r="66" spans="1:16">
      <c r="D66" s="10" t="s">
        <v>78</v>
      </c>
      <c r="F66" s="13">
        <v>271</v>
      </c>
      <c r="G66" s="13">
        <v>308</v>
      </c>
      <c r="H66" s="13">
        <v>321</v>
      </c>
      <c r="I66" s="13">
        <v>336</v>
      </c>
      <c r="J66" s="13">
        <v>346</v>
      </c>
      <c r="K66" s="13">
        <v>327</v>
      </c>
      <c r="L66" s="13">
        <v>286</v>
      </c>
      <c r="M66" s="13">
        <v>275</v>
      </c>
      <c r="N66" s="13">
        <v>281</v>
      </c>
      <c r="O66" s="13">
        <v>274</v>
      </c>
      <c r="P66" s="4">
        <v>477</v>
      </c>
    </row>
    <row r="67" spans="1:16">
      <c r="D67" s="10" t="s">
        <v>115</v>
      </c>
      <c r="F67" s="13">
        <v>293</v>
      </c>
      <c r="G67" s="13">
        <v>313</v>
      </c>
      <c r="H67" s="13">
        <v>350</v>
      </c>
      <c r="I67" s="13">
        <v>384</v>
      </c>
      <c r="J67" s="13">
        <v>402</v>
      </c>
      <c r="K67" s="13">
        <v>417</v>
      </c>
      <c r="L67" s="13">
        <v>430</v>
      </c>
      <c r="M67" s="13">
        <v>444</v>
      </c>
      <c r="N67" s="13">
        <v>450</v>
      </c>
      <c r="O67" s="13">
        <v>456</v>
      </c>
      <c r="P67" s="4">
        <v>324</v>
      </c>
    </row>
    <row r="68" spans="1:16">
      <c r="D68" s="10" t="s">
        <v>116</v>
      </c>
      <c r="F68" s="13">
        <v>479</v>
      </c>
      <c r="G68" s="13">
        <v>497</v>
      </c>
      <c r="H68" s="13">
        <v>673</v>
      </c>
      <c r="I68" s="13">
        <v>667</v>
      </c>
      <c r="J68" s="13">
        <v>755</v>
      </c>
      <c r="K68" s="13">
        <v>816</v>
      </c>
      <c r="L68" s="13">
        <v>835</v>
      </c>
      <c r="M68" s="13">
        <v>751</v>
      </c>
      <c r="N68" s="13">
        <v>748</v>
      </c>
      <c r="O68" s="13">
        <v>785</v>
      </c>
      <c r="P68" s="4">
        <v>503</v>
      </c>
    </row>
    <row r="69" spans="1:16">
      <c r="D69" s="10" t="s">
        <v>31</v>
      </c>
      <c r="F69" s="13">
        <v>503</v>
      </c>
      <c r="G69" s="13">
        <v>603</v>
      </c>
      <c r="H69" s="13">
        <v>608</v>
      </c>
      <c r="I69" s="13">
        <v>647</v>
      </c>
      <c r="J69" s="13">
        <v>709</v>
      </c>
      <c r="K69" s="13">
        <v>745</v>
      </c>
      <c r="L69" s="13">
        <v>785</v>
      </c>
      <c r="M69" s="13">
        <v>825</v>
      </c>
      <c r="N69" s="13">
        <v>865</v>
      </c>
      <c r="O69" s="13">
        <v>910</v>
      </c>
      <c r="P69" s="1">
        <v>530</v>
      </c>
    </row>
    <row r="70" spans="1:16">
      <c r="D70" s="10" t="s">
        <v>48</v>
      </c>
      <c r="F70" s="13">
        <v>145</v>
      </c>
      <c r="G70" s="13">
        <v>132</v>
      </c>
      <c r="H70" s="13">
        <v>139</v>
      </c>
      <c r="I70" s="13">
        <v>165</v>
      </c>
      <c r="J70" s="13">
        <v>167</v>
      </c>
      <c r="K70" s="13">
        <v>159</v>
      </c>
      <c r="L70" s="13">
        <v>167</v>
      </c>
      <c r="M70" s="13">
        <v>177</v>
      </c>
      <c r="N70" s="13">
        <v>179</v>
      </c>
      <c r="O70" s="13">
        <v>185</v>
      </c>
      <c r="P70" s="4">
        <v>189</v>
      </c>
    </row>
    <row r="71" spans="1:16">
      <c r="D71" s="10" t="s">
        <v>164</v>
      </c>
      <c r="F71" s="13">
        <v>0</v>
      </c>
      <c r="G71" s="13">
        <v>0</v>
      </c>
      <c r="H71" s="13">
        <v>0</v>
      </c>
      <c r="I71" s="13">
        <v>0</v>
      </c>
      <c r="J71" s="13">
        <v>51</v>
      </c>
      <c r="K71" s="13">
        <v>140</v>
      </c>
      <c r="L71" s="13">
        <v>168</v>
      </c>
      <c r="M71" s="13">
        <v>166</v>
      </c>
      <c r="N71" s="13">
        <v>163</v>
      </c>
      <c r="O71" s="13">
        <v>163</v>
      </c>
      <c r="P71" s="4"/>
    </row>
    <row r="72" spans="1:16">
      <c r="D72" s="10" t="s">
        <v>49</v>
      </c>
      <c r="F72" s="13">
        <v>139</v>
      </c>
      <c r="G72" s="13">
        <v>134</v>
      </c>
      <c r="H72" s="13">
        <v>132</v>
      </c>
      <c r="I72" s="13">
        <v>132</v>
      </c>
      <c r="J72" s="13">
        <v>132</v>
      </c>
      <c r="K72" s="13">
        <v>132</v>
      </c>
      <c r="L72" s="13">
        <v>132</v>
      </c>
      <c r="M72" s="13">
        <v>133</v>
      </c>
      <c r="N72" s="13">
        <v>131</v>
      </c>
      <c r="O72" s="13">
        <v>130</v>
      </c>
      <c r="P72" s="4">
        <v>110</v>
      </c>
    </row>
    <row r="73" spans="1:16" ht="18.75">
      <c r="D73" s="10" t="s">
        <v>194</v>
      </c>
      <c r="F73" s="13">
        <v>0</v>
      </c>
      <c r="G73" s="13">
        <v>0</v>
      </c>
      <c r="H73" s="13">
        <v>0</v>
      </c>
      <c r="I73" s="13">
        <v>0</v>
      </c>
      <c r="J73" s="13">
        <v>74</v>
      </c>
      <c r="K73" s="13">
        <v>40</v>
      </c>
      <c r="L73" s="13">
        <v>44</v>
      </c>
      <c r="M73" s="13">
        <v>59</v>
      </c>
      <c r="N73" s="13">
        <v>66</v>
      </c>
      <c r="O73" s="13">
        <v>68</v>
      </c>
      <c r="P73" s="4"/>
    </row>
    <row r="74" spans="1:16">
      <c r="D74" s="10" t="s">
        <v>87</v>
      </c>
      <c r="F74" s="13">
        <v>1197</v>
      </c>
      <c r="G74" s="13">
        <v>4689</v>
      </c>
      <c r="H74" s="13">
        <v>0</v>
      </c>
      <c r="I74" s="13">
        <v>1</v>
      </c>
      <c r="J74" s="13">
        <v>0</v>
      </c>
      <c r="K74" s="13">
        <v>0</v>
      </c>
      <c r="L74" s="13">
        <v>0</v>
      </c>
      <c r="M74" s="13">
        <v>0</v>
      </c>
      <c r="N74" s="13">
        <v>0</v>
      </c>
      <c r="O74" s="13">
        <v>0</v>
      </c>
      <c r="P74" s="4"/>
    </row>
    <row r="75" spans="1:16">
      <c r="D75" s="10" t="s">
        <v>118</v>
      </c>
      <c r="F75" s="13">
        <v>0</v>
      </c>
      <c r="G75" s="13">
        <v>0</v>
      </c>
      <c r="H75" s="13">
        <v>600</v>
      </c>
      <c r="I75" s="13">
        <v>0</v>
      </c>
      <c r="J75" s="13">
        <v>0</v>
      </c>
      <c r="K75" s="13">
        <v>0</v>
      </c>
      <c r="L75" s="13">
        <v>0</v>
      </c>
      <c r="M75" s="13">
        <v>0</v>
      </c>
      <c r="N75" s="13">
        <v>0</v>
      </c>
      <c r="O75" s="13">
        <v>0</v>
      </c>
      <c r="P75" s="4"/>
    </row>
    <row r="76" spans="1:16">
      <c r="D76" s="10" t="s">
        <v>117</v>
      </c>
      <c r="F76" s="13">
        <v>0</v>
      </c>
      <c r="G76" s="13">
        <v>471</v>
      </c>
      <c r="H76" s="13">
        <v>273</v>
      </c>
      <c r="I76" s="13">
        <v>13</v>
      </c>
      <c r="J76" s="13">
        <v>0</v>
      </c>
      <c r="K76" s="13">
        <v>0</v>
      </c>
      <c r="L76" s="13">
        <v>0</v>
      </c>
      <c r="M76" s="13">
        <v>0</v>
      </c>
      <c r="N76" s="13">
        <v>0</v>
      </c>
      <c r="O76" s="13">
        <v>0</v>
      </c>
      <c r="P76" s="4"/>
    </row>
    <row r="77" spans="1:16" ht="18.75">
      <c r="D77" s="10" t="s">
        <v>198</v>
      </c>
      <c r="F77" s="13">
        <v>157</v>
      </c>
      <c r="G77" s="13">
        <v>25</v>
      </c>
      <c r="H77" s="13">
        <v>14</v>
      </c>
      <c r="I77" s="13">
        <v>12</v>
      </c>
      <c r="J77" s="13">
        <v>101</v>
      </c>
      <c r="K77" s="13">
        <v>260</v>
      </c>
      <c r="L77" s="13">
        <v>321</v>
      </c>
      <c r="M77" s="13">
        <v>236</v>
      </c>
      <c r="N77" s="13">
        <v>269</v>
      </c>
      <c r="O77" s="13">
        <v>337</v>
      </c>
      <c r="P77" s="4">
        <v>31</v>
      </c>
    </row>
    <row r="78" spans="1:16" ht="16.5" thickBot="1">
      <c r="F78" s="45"/>
      <c r="G78" s="45"/>
      <c r="H78" s="45"/>
      <c r="I78" s="45"/>
      <c r="J78" s="45"/>
      <c r="K78" s="45"/>
      <c r="L78" s="45"/>
      <c r="M78" s="45"/>
      <c r="N78" s="45"/>
      <c r="O78" s="45"/>
      <c r="P78" s="5"/>
    </row>
    <row r="79" spans="1:16" s="83" customFormat="1" ht="18" customHeight="1" thickBot="1">
      <c r="A79" s="89"/>
      <c r="B79" s="88"/>
      <c r="C79" s="88"/>
      <c r="D79" s="101" t="s">
        <v>50</v>
      </c>
      <c r="E79" s="101"/>
      <c r="F79" s="86">
        <f t="shared" ref="F79:O79" si="6">SUM(F56:F78)</f>
        <v>33671</v>
      </c>
      <c r="G79" s="86">
        <f t="shared" si="6"/>
        <v>39187</v>
      </c>
      <c r="H79" s="86">
        <f t="shared" si="6"/>
        <v>37576</v>
      </c>
      <c r="I79" s="86">
        <f t="shared" si="6"/>
        <v>40294</v>
      </c>
      <c r="J79" s="86">
        <f t="shared" si="6"/>
        <v>43525</v>
      </c>
      <c r="K79" s="86">
        <f t="shared" si="6"/>
        <v>46244</v>
      </c>
      <c r="L79" s="86">
        <f t="shared" si="6"/>
        <v>48944</v>
      </c>
      <c r="M79" s="86">
        <f t="shared" si="6"/>
        <v>50614</v>
      </c>
      <c r="N79" s="86">
        <f t="shared" si="6"/>
        <v>51799</v>
      </c>
      <c r="O79" s="86">
        <f t="shared" si="6"/>
        <v>53705</v>
      </c>
      <c r="P79" s="9">
        <v>34658</v>
      </c>
    </row>
    <row r="80" spans="1:16">
      <c r="E80" s="63"/>
      <c r="F80" s="16"/>
      <c r="G80" s="16"/>
      <c r="H80" s="16"/>
      <c r="I80" s="16"/>
      <c r="J80" s="16"/>
      <c r="K80" s="16"/>
      <c r="L80" s="16"/>
      <c r="M80" s="16"/>
      <c r="N80" s="10"/>
      <c r="O80" s="10"/>
    </row>
    <row r="81" spans="1:16" s="47" customFormat="1" ht="15.75" customHeight="1">
      <c r="A81" s="89"/>
      <c r="B81" s="22"/>
      <c r="C81" s="22"/>
      <c r="D81" s="10" t="s">
        <v>189</v>
      </c>
      <c r="E81" s="10"/>
      <c r="F81" s="12"/>
      <c r="G81" s="12"/>
      <c r="H81" s="12"/>
      <c r="I81" s="12"/>
      <c r="J81" s="12"/>
      <c r="K81" s="12"/>
      <c r="L81" s="12"/>
      <c r="M81" s="12"/>
      <c r="N81" s="12"/>
      <c r="O81" s="12"/>
      <c r="P81" s="1"/>
    </row>
    <row r="82" spans="1:16" s="66" customFormat="1" ht="15.75" customHeight="1">
      <c r="A82" s="89"/>
      <c r="B82" s="22"/>
      <c r="C82" s="22"/>
      <c r="D82" s="10" t="s">
        <v>182</v>
      </c>
      <c r="E82" s="10"/>
      <c r="F82" s="10"/>
      <c r="G82" s="10"/>
      <c r="H82" s="10"/>
      <c r="I82" s="10"/>
      <c r="J82" s="10"/>
      <c r="K82" s="46"/>
      <c r="L82" s="46"/>
      <c r="M82" s="46"/>
      <c r="N82" s="47"/>
      <c r="O82" s="47"/>
      <c r="P82" s="6"/>
    </row>
    <row r="83" spans="1:16" ht="15.75" customHeight="1">
      <c r="B83" s="71"/>
      <c r="C83" s="71"/>
      <c r="D83" s="10" t="s">
        <v>183</v>
      </c>
      <c r="E83" s="72"/>
      <c r="F83" s="73"/>
      <c r="G83" s="73"/>
      <c r="H83" s="73"/>
      <c r="I83" s="73"/>
      <c r="J83" s="73"/>
      <c r="K83" s="73"/>
      <c r="L83" s="73"/>
      <c r="M83" s="73"/>
      <c r="N83" s="66"/>
      <c r="O83" s="66"/>
      <c r="P83" s="74"/>
    </row>
    <row r="84" spans="1:16" s="21" customFormat="1">
      <c r="A84" s="89"/>
      <c r="B84" s="22"/>
      <c r="C84" s="22"/>
      <c r="D84" s="39" t="s">
        <v>199</v>
      </c>
      <c r="E84" s="10"/>
      <c r="F84" s="12"/>
      <c r="G84" s="12"/>
      <c r="H84" s="12"/>
      <c r="I84" s="12"/>
      <c r="J84" s="12"/>
      <c r="K84" s="12"/>
      <c r="L84" s="12"/>
      <c r="M84" s="12"/>
      <c r="N84" s="12"/>
      <c r="O84" s="12"/>
      <c r="P84" s="1"/>
    </row>
    <row r="85" spans="1:16" s="21" customFormat="1">
      <c r="A85" s="89"/>
      <c r="B85" s="22"/>
      <c r="C85" s="22"/>
      <c r="D85" s="39"/>
      <c r="E85" s="10"/>
      <c r="F85" s="12"/>
      <c r="G85" s="12"/>
      <c r="H85" s="12"/>
      <c r="I85" s="12"/>
      <c r="J85" s="12"/>
      <c r="K85" s="12"/>
      <c r="L85" s="12"/>
      <c r="M85" s="12"/>
      <c r="N85" s="12"/>
      <c r="O85" s="12"/>
      <c r="P85" s="1"/>
    </row>
    <row r="86" spans="1:16" s="21" customFormat="1" ht="18">
      <c r="A86" s="89" t="s">
        <v>46</v>
      </c>
      <c r="B86" s="22"/>
      <c r="C86" s="22"/>
      <c r="D86" s="66" t="s">
        <v>229</v>
      </c>
      <c r="E86" s="63"/>
      <c r="F86" s="16"/>
      <c r="G86" s="16"/>
      <c r="H86" s="16"/>
      <c r="I86" s="16"/>
      <c r="J86" s="16"/>
      <c r="K86" s="16"/>
      <c r="L86" s="16"/>
      <c r="M86" s="16"/>
      <c r="N86" s="10"/>
      <c r="O86" s="10"/>
      <c r="P86" s="1"/>
    </row>
    <row r="87" spans="1:16" s="25" customFormat="1" ht="19.5" customHeight="1">
      <c r="A87" s="89"/>
      <c r="B87" s="22"/>
      <c r="C87" s="22"/>
      <c r="D87" s="21"/>
      <c r="E87" s="20"/>
      <c r="F87" s="12"/>
      <c r="G87" s="12"/>
      <c r="H87" s="12"/>
      <c r="I87" s="12"/>
      <c r="J87" s="12"/>
      <c r="K87" s="12"/>
      <c r="L87" s="12"/>
      <c r="M87" s="12"/>
      <c r="N87" s="12"/>
      <c r="O87" s="12"/>
      <c r="P87" s="12"/>
    </row>
    <row r="88" spans="1:16" ht="18.75">
      <c r="D88" s="20" t="s">
        <v>130</v>
      </c>
      <c r="E88" s="21"/>
      <c r="F88" s="15" t="str">
        <f t="shared" ref="F88:O88" si="7">F$35</f>
        <v>2021</v>
      </c>
      <c r="G88" s="15" t="str">
        <f t="shared" si="7"/>
        <v>2022</v>
      </c>
      <c r="H88" s="15" t="str">
        <f t="shared" si="7"/>
        <v>2023</v>
      </c>
      <c r="I88" s="15" t="str">
        <f t="shared" si="7"/>
        <v>2024</v>
      </c>
      <c r="J88" s="15" t="str">
        <f t="shared" si="7"/>
        <v>2025</v>
      </c>
      <c r="K88" s="15" t="str">
        <f t="shared" si="7"/>
        <v>2026</v>
      </c>
      <c r="L88" s="15" t="str">
        <f t="shared" si="7"/>
        <v>2027</v>
      </c>
      <c r="M88" s="15" t="str">
        <f t="shared" si="7"/>
        <v>2028</v>
      </c>
      <c r="N88" s="15" t="str">
        <f t="shared" si="7"/>
        <v>2029</v>
      </c>
      <c r="O88" s="15" t="str">
        <f t="shared" si="7"/>
        <v>2030</v>
      </c>
      <c r="P88" s="3"/>
    </row>
    <row r="89" spans="1:16">
      <c r="B89" s="69"/>
      <c r="C89" s="69"/>
      <c r="D89" s="63" t="s">
        <v>6</v>
      </c>
      <c r="E89" s="26"/>
      <c r="F89" s="48" t="s">
        <v>0</v>
      </c>
      <c r="G89" s="48" t="s">
        <v>0</v>
      </c>
      <c r="H89" s="48" t="s">
        <v>0</v>
      </c>
      <c r="I89" s="48" t="s">
        <v>0</v>
      </c>
      <c r="J89" s="48" t="str">
        <f>$J$54</f>
        <v>Actual</v>
      </c>
      <c r="K89" s="48" t="s">
        <v>1</v>
      </c>
      <c r="L89" s="48" t="s">
        <v>1</v>
      </c>
      <c r="M89" s="48" t="s">
        <v>1</v>
      </c>
      <c r="N89" s="48" t="s">
        <v>1</v>
      </c>
      <c r="O89" s="48" t="s">
        <v>1</v>
      </c>
      <c r="P89" s="70"/>
    </row>
    <row r="90" spans="1:16" ht="15.75" customHeight="1">
      <c r="N90" s="10"/>
      <c r="O90" s="10"/>
      <c r="P90" s="4"/>
    </row>
    <row r="91" spans="1:16" ht="15.75" customHeight="1">
      <c r="D91" s="10" t="s">
        <v>4</v>
      </c>
      <c r="F91" s="10">
        <v>825</v>
      </c>
      <c r="G91" s="10">
        <v>848</v>
      </c>
      <c r="H91" s="10">
        <v>870</v>
      </c>
      <c r="I91" s="10">
        <v>899</v>
      </c>
      <c r="J91" s="10">
        <v>928</v>
      </c>
      <c r="K91" s="10">
        <v>959</v>
      </c>
      <c r="L91" s="10">
        <v>991</v>
      </c>
      <c r="M91" s="10">
        <v>1024</v>
      </c>
      <c r="N91" s="10">
        <v>1055</v>
      </c>
      <c r="O91" s="10">
        <v>1083</v>
      </c>
      <c r="P91" s="4"/>
    </row>
    <row r="92" spans="1:16" ht="15.75" customHeight="1">
      <c r="D92" s="10" t="s">
        <v>81</v>
      </c>
      <c r="F92" s="10">
        <v>211</v>
      </c>
      <c r="G92" s="10">
        <v>193</v>
      </c>
      <c r="H92" s="10">
        <v>177</v>
      </c>
      <c r="I92" s="10">
        <v>194</v>
      </c>
      <c r="J92" s="10">
        <v>217</v>
      </c>
      <c r="K92" s="10">
        <v>227</v>
      </c>
      <c r="L92" s="10">
        <v>222</v>
      </c>
      <c r="M92" s="10">
        <v>212</v>
      </c>
      <c r="N92" s="10">
        <v>207</v>
      </c>
      <c r="O92" s="10">
        <v>206</v>
      </c>
      <c r="P92" s="4"/>
    </row>
    <row r="93" spans="1:16">
      <c r="D93" s="10" t="s">
        <v>65</v>
      </c>
      <c r="F93" s="10">
        <v>97</v>
      </c>
      <c r="G93" s="10">
        <v>98</v>
      </c>
      <c r="H93" s="10">
        <v>103</v>
      </c>
      <c r="I93" s="10">
        <v>105</v>
      </c>
      <c r="J93" s="10">
        <v>108</v>
      </c>
      <c r="K93" s="10">
        <v>111</v>
      </c>
      <c r="L93" s="10">
        <v>115</v>
      </c>
      <c r="M93" s="10">
        <v>117</v>
      </c>
      <c r="N93" s="10">
        <v>120</v>
      </c>
      <c r="O93" s="10">
        <v>122</v>
      </c>
      <c r="P93" s="4"/>
    </row>
    <row r="94" spans="1:16">
      <c r="D94" s="10" t="s">
        <v>66</v>
      </c>
      <c r="F94" s="10">
        <v>66</v>
      </c>
      <c r="G94" s="10">
        <v>70</v>
      </c>
      <c r="H94" s="10">
        <v>73</v>
      </c>
      <c r="I94" s="10">
        <v>76</v>
      </c>
      <c r="J94" s="10">
        <v>79</v>
      </c>
      <c r="K94" s="10">
        <v>81</v>
      </c>
      <c r="L94" s="10">
        <v>81</v>
      </c>
      <c r="M94" s="10">
        <v>76</v>
      </c>
      <c r="N94" s="10">
        <v>73</v>
      </c>
      <c r="O94" s="10">
        <v>71</v>
      </c>
      <c r="P94" s="4"/>
    </row>
    <row r="95" spans="1:16">
      <c r="D95" s="10" t="s">
        <v>5</v>
      </c>
      <c r="F95" s="10">
        <v>364</v>
      </c>
      <c r="G95" s="10">
        <v>353</v>
      </c>
      <c r="H95" s="10">
        <v>347</v>
      </c>
      <c r="I95" s="10">
        <v>358</v>
      </c>
      <c r="J95" s="10">
        <v>377</v>
      </c>
      <c r="K95" s="10">
        <v>383</v>
      </c>
      <c r="L95" s="10">
        <v>376</v>
      </c>
      <c r="M95" s="10">
        <v>367</v>
      </c>
      <c r="N95" s="10">
        <v>364</v>
      </c>
      <c r="O95" s="10">
        <v>365</v>
      </c>
      <c r="P95" s="4"/>
    </row>
    <row r="96" spans="1:16">
      <c r="F96" s="49"/>
      <c r="N96" s="10"/>
      <c r="O96" s="10"/>
    </row>
    <row r="97" spans="1:16">
      <c r="D97" s="10" t="s">
        <v>145</v>
      </c>
      <c r="E97" s="20"/>
      <c r="F97" s="14"/>
      <c r="G97" s="14"/>
      <c r="H97" s="14"/>
      <c r="I97" s="14"/>
      <c r="J97" s="14"/>
      <c r="K97" s="14"/>
      <c r="L97" s="14"/>
      <c r="M97" s="14"/>
      <c r="N97" s="10"/>
      <c r="O97" s="10"/>
    </row>
    <row r="98" spans="1:16" s="47" customFormat="1">
      <c r="A98" s="89"/>
      <c r="B98" s="22"/>
      <c r="C98" s="22"/>
      <c r="D98" s="10"/>
      <c r="E98" s="20"/>
      <c r="F98" s="14"/>
      <c r="G98" s="14"/>
      <c r="H98" s="14"/>
      <c r="I98" s="14"/>
      <c r="J98" s="12"/>
      <c r="K98" s="14"/>
      <c r="L98" s="14"/>
      <c r="M98" s="14"/>
      <c r="N98" s="10"/>
      <c r="O98" s="10"/>
      <c r="P98" s="1"/>
    </row>
    <row r="99" spans="1:16" s="21" customFormat="1" ht="18">
      <c r="A99" s="89"/>
      <c r="B99" s="22"/>
      <c r="C99" s="22"/>
      <c r="D99" s="66" t="s">
        <v>230</v>
      </c>
      <c r="E99" s="10"/>
      <c r="F99" s="49"/>
      <c r="G99" s="12"/>
      <c r="H99" s="12"/>
      <c r="I99" s="12"/>
      <c r="J99" s="12"/>
      <c r="K99" s="12"/>
      <c r="L99" s="12"/>
      <c r="M99" s="12"/>
      <c r="N99" s="10"/>
      <c r="O99" s="10"/>
      <c r="P99" s="1"/>
    </row>
    <row r="100" spans="1:16" s="21" customFormat="1" ht="18">
      <c r="A100" s="89"/>
      <c r="B100" s="22"/>
      <c r="C100" s="22"/>
      <c r="D100" s="66"/>
      <c r="E100" s="10"/>
      <c r="F100" s="49"/>
      <c r="G100" s="12"/>
      <c r="H100" s="12"/>
      <c r="I100" s="12"/>
      <c r="J100" s="12"/>
      <c r="K100" s="12"/>
      <c r="L100" s="12"/>
      <c r="M100" s="12"/>
      <c r="N100" s="10"/>
      <c r="O100" s="10"/>
      <c r="P100" s="1"/>
    </row>
    <row r="101" spans="1:16" s="25" customFormat="1">
      <c r="A101" s="89" t="s">
        <v>92</v>
      </c>
      <c r="B101" s="22"/>
      <c r="C101" s="22"/>
      <c r="D101" s="20" t="s">
        <v>35</v>
      </c>
      <c r="E101" s="20"/>
      <c r="F101" s="12"/>
      <c r="G101" s="91"/>
      <c r="H101" s="12"/>
      <c r="I101" s="12"/>
      <c r="J101" s="12"/>
      <c r="K101" s="12"/>
      <c r="L101" s="12"/>
      <c r="M101" s="12"/>
      <c r="N101" s="21"/>
      <c r="O101" s="21"/>
      <c r="P101" s="2"/>
    </row>
    <row r="102" spans="1:16">
      <c r="D102" s="20"/>
      <c r="E102" s="21"/>
      <c r="F102" s="15" t="str">
        <f t="shared" ref="F102:O102" si="8">F$35</f>
        <v>2021</v>
      </c>
      <c r="G102" s="15" t="str">
        <f t="shared" si="8"/>
        <v>2022</v>
      </c>
      <c r="H102" s="15" t="str">
        <f t="shared" si="8"/>
        <v>2023</v>
      </c>
      <c r="I102" s="15" t="str">
        <f t="shared" si="8"/>
        <v>2024</v>
      </c>
      <c r="J102" s="15" t="str">
        <f t="shared" si="8"/>
        <v>2025</v>
      </c>
      <c r="K102" s="15" t="str">
        <f t="shared" si="8"/>
        <v>2026</v>
      </c>
      <c r="L102" s="15" t="str">
        <f t="shared" si="8"/>
        <v>2027</v>
      </c>
      <c r="M102" s="15" t="str">
        <f t="shared" si="8"/>
        <v>2028</v>
      </c>
      <c r="N102" s="15" t="str">
        <f t="shared" si="8"/>
        <v>2029</v>
      </c>
      <c r="O102" s="15" t="str">
        <f t="shared" si="8"/>
        <v>2030</v>
      </c>
      <c r="P102" s="3"/>
    </row>
    <row r="103" spans="1:16">
      <c r="B103" s="69"/>
      <c r="C103" s="69"/>
      <c r="D103" s="63" t="s">
        <v>60</v>
      </c>
      <c r="E103" s="63"/>
      <c r="F103" s="48" t="s">
        <v>0</v>
      </c>
      <c r="G103" s="48" t="s">
        <v>0</v>
      </c>
      <c r="H103" s="48" t="s">
        <v>0</v>
      </c>
      <c r="I103" s="48" t="s">
        <v>0</v>
      </c>
      <c r="J103" s="48" t="str">
        <f>J89</f>
        <v>Actual</v>
      </c>
      <c r="K103" s="48" t="s">
        <v>1</v>
      </c>
      <c r="L103" s="48" t="s">
        <v>1</v>
      </c>
      <c r="M103" s="48" t="s">
        <v>1</v>
      </c>
      <c r="N103" s="48" t="s">
        <v>1</v>
      </c>
      <c r="O103" s="48" t="s">
        <v>1</v>
      </c>
      <c r="P103" s="70"/>
    </row>
    <row r="104" spans="1:16">
      <c r="F104" s="13"/>
      <c r="G104" s="13"/>
      <c r="H104" s="13"/>
      <c r="I104" s="13"/>
      <c r="J104" s="13"/>
      <c r="K104" s="13"/>
      <c r="L104" s="13"/>
      <c r="M104" s="13"/>
      <c r="N104" s="13"/>
      <c r="O104" s="13"/>
      <c r="P104" s="4"/>
    </row>
    <row r="105" spans="1:16">
      <c r="D105" s="10" t="s">
        <v>7</v>
      </c>
      <c r="F105" s="13">
        <v>298</v>
      </c>
      <c r="G105" s="13">
        <v>386</v>
      </c>
      <c r="H105" s="13">
        <v>222</v>
      </c>
      <c r="I105" s="13">
        <v>265</v>
      </c>
      <c r="J105" s="13">
        <v>222</v>
      </c>
      <c r="K105" s="13">
        <v>211</v>
      </c>
      <c r="L105" s="13">
        <v>223</v>
      </c>
      <c r="M105" s="13">
        <v>211</v>
      </c>
      <c r="N105" s="13">
        <v>210</v>
      </c>
      <c r="O105" s="13">
        <v>219</v>
      </c>
      <c r="P105" s="4">
        <v>213</v>
      </c>
    </row>
    <row r="106" spans="1:16" ht="18.75">
      <c r="D106" s="7" t="s">
        <v>216</v>
      </c>
      <c r="F106" s="13">
        <v>16837</v>
      </c>
      <c r="G106" s="13">
        <v>17727</v>
      </c>
      <c r="H106" s="13">
        <v>21363</v>
      </c>
      <c r="I106" s="13">
        <v>23712</v>
      </c>
      <c r="J106" s="13">
        <v>24320</v>
      </c>
      <c r="K106" s="13">
        <v>26778</v>
      </c>
      <c r="L106" s="13">
        <v>27186</v>
      </c>
      <c r="M106" s="13">
        <v>27173</v>
      </c>
      <c r="N106" s="13">
        <v>27182</v>
      </c>
      <c r="O106" s="13">
        <v>27099</v>
      </c>
      <c r="P106" s="4">
        <v>17691</v>
      </c>
    </row>
    <row r="107" spans="1:16" ht="18.75">
      <c r="D107" s="7" t="s">
        <v>207</v>
      </c>
      <c r="F107" s="13">
        <v>1659</v>
      </c>
      <c r="G107" s="13">
        <v>1870</v>
      </c>
      <c r="H107" s="13">
        <v>2062</v>
      </c>
      <c r="I107" s="13">
        <v>2340</v>
      </c>
      <c r="J107" s="13">
        <v>2425</v>
      </c>
      <c r="K107" s="13">
        <v>2595</v>
      </c>
      <c r="L107" s="13">
        <v>2964</v>
      </c>
      <c r="M107" s="13">
        <v>2788</v>
      </c>
      <c r="N107" s="13">
        <v>2788</v>
      </c>
      <c r="O107" s="13">
        <v>2788</v>
      </c>
      <c r="P107" s="4"/>
    </row>
    <row r="108" spans="1:16" ht="18.75">
      <c r="D108" s="7" t="s">
        <v>168</v>
      </c>
      <c r="F108" s="13">
        <v>1045</v>
      </c>
      <c r="G108" s="13">
        <v>1085</v>
      </c>
      <c r="H108" s="13">
        <v>1186</v>
      </c>
      <c r="I108" s="13">
        <v>1806</v>
      </c>
      <c r="J108" s="13">
        <v>1690</v>
      </c>
      <c r="K108" s="13">
        <v>1760</v>
      </c>
      <c r="L108" s="13">
        <v>1807</v>
      </c>
      <c r="M108" s="13">
        <v>1808</v>
      </c>
      <c r="N108" s="13">
        <v>1808</v>
      </c>
      <c r="O108" s="13">
        <v>1808</v>
      </c>
      <c r="P108" s="4"/>
    </row>
    <row r="109" spans="1:16" ht="18.75" customHeight="1">
      <c r="D109" s="7" t="s">
        <v>208</v>
      </c>
      <c r="F109" s="13">
        <v>623</v>
      </c>
      <c r="G109" s="13">
        <v>770</v>
      </c>
      <c r="H109" s="13">
        <v>583</v>
      </c>
      <c r="I109" s="13">
        <v>612</v>
      </c>
      <c r="J109" s="13">
        <v>619</v>
      </c>
      <c r="K109" s="13">
        <v>593</v>
      </c>
      <c r="L109" s="13">
        <v>669</v>
      </c>
      <c r="M109" s="13">
        <v>658</v>
      </c>
      <c r="N109" s="13">
        <v>684</v>
      </c>
      <c r="O109" s="13">
        <v>715</v>
      </c>
      <c r="P109" s="4">
        <v>543</v>
      </c>
    </row>
    <row r="110" spans="1:16">
      <c r="D110" s="10" t="s">
        <v>165</v>
      </c>
      <c r="F110" s="13">
        <v>1038</v>
      </c>
      <c r="G110" s="13">
        <v>896</v>
      </c>
      <c r="H110" s="13">
        <v>952</v>
      </c>
      <c r="I110" s="13">
        <v>1010</v>
      </c>
      <c r="J110" s="13">
        <v>1026</v>
      </c>
      <c r="K110" s="13">
        <v>1221</v>
      </c>
      <c r="L110" s="13">
        <v>1312</v>
      </c>
      <c r="M110" s="13">
        <v>1411</v>
      </c>
      <c r="N110" s="13">
        <v>1517</v>
      </c>
      <c r="O110" s="13">
        <v>1631</v>
      </c>
      <c r="P110" s="4">
        <v>881</v>
      </c>
    </row>
    <row r="111" spans="1:16" ht="18.75">
      <c r="D111" s="10" t="s">
        <v>167</v>
      </c>
      <c r="F111" s="13">
        <v>1261</v>
      </c>
      <c r="G111" s="13">
        <v>4965</v>
      </c>
      <c r="H111" s="13">
        <v>2112</v>
      </c>
      <c r="I111" s="13">
        <v>247</v>
      </c>
      <c r="J111" s="13">
        <v>0</v>
      </c>
      <c r="K111" s="13">
        <v>0</v>
      </c>
      <c r="L111" s="13">
        <v>0</v>
      </c>
      <c r="M111" s="13">
        <v>0</v>
      </c>
      <c r="N111" s="13">
        <v>0</v>
      </c>
      <c r="O111" s="13">
        <v>0</v>
      </c>
      <c r="P111" s="1">
        <v>38</v>
      </c>
    </row>
    <row r="112" spans="1:16">
      <c r="D112" s="10" t="s">
        <v>8</v>
      </c>
      <c r="F112" s="13">
        <v>23</v>
      </c>
      <c r="G112" s="13">
        <v>82</v>
      </c>
      <c r="H112" s="13">
        <v>9</v>
      </c>
      <c r="I112" s="13">
        <v>7</v>
      </c>
      <c r="J112" s="13">
        <v>9</v>
      </c>
      <c r="K112" s="13">
        <v>52</v>
      </c>
      <c r="L112" s="13">
        <v>35</v>
      </c>
      <c r="M112" s="13">
        <v>34</v>
      </c>
      <c r="N112" s="13">
        <v>8</v>
      </c>
      <c r="O112" s="13">
        <v>8</v>
      </c>
      <c r="P112" s="1">
        <v>38</v>
      </c>
    </row>
    <row r="113" spans="1:16" ht="16.5" thickBot="1">
      <c r="F113" s="45"/>
      <c r="G113" s="45"/>
      <c r="H113" s="45"/>
      <c r="I113" s="45"/>
      <c r="J113" s="45"/>
      <c r="K113" s="45"/>
      <c r="L113" s="45"/>
      <c r="M113" s="45"/>
      <c r="N113" s="45"/>
      <c r="O113" s="45"/>
      <c r="P113" s="75"/>
    </row>
    <row r="114" spans="1:16" s="83" customFormat="1" ht="18" customHeight="1" thickBot="1">
      <c r="A114" s="89"/>
      <c r="B114" s="88"/>
      <c r="C114" s="88"/>
      <c r="D114" s="101" t="s">
        <v>35</v>
      </c>
      <c r="E114" s="101"/>
      <c r="F114" s="86">
        <f t="shared" ref="F114:O114" si="9">SUM(F105:F113)</f>
        <v>22784</v>
      </c>
      <c r="G114" s="86">
        <f t="shared" si="9"/>
        <v>27781</v>
      </c>
      <c r="H114" s="86">
        <f t="shared" si="9"/>
        <v>28489</v>
      </c>
      <c r="I114" s="86">
        <f t="shared" si="9"/>
        <v>29999</v>
      </c>
      <c r="J114" s="86">
        <f t="shared" si="9"/>
        <v>30311</v>
      </c>
      <c r="K114" s="86">
        <f t="shared" si="9"/>
        <v>33210</v>
      </c>
      <c r="L114" s="86">
        <f t="shared" si="9"/>
        <v>34196</v>
      </c>
      <c r="M114" s="86">
        <f t="shared" si="9"/>
        <v>34083</v>
      </c>
      <c r="N114" s="86">
        <f t="shared" ref="N114" si="10">SUM(N105:N113)</f>
        <v>34197</v>
      </c>
      <c r="O114" s="86">
        <f t="shared" si="9"/>
        <v>34268</v>
      </c>
      <c r="P114" s="9"/>
    </row>
    <row r="115" spans="1:16" ht="15" customHeight="1">
      <c r="D115" s="63"/>
      <c r="E115" s="63"/>
      <c r="F115" s="16"/>
      <c r="G115" s="16"/>
      <c r="H115" s="16"/>
      <c r="I115" s="16"/>
      <c r="J115" s="16"/>
      <c r="K115" s="16"/>
      <c r="L115" s="16"/>
      <c r="M115" s="16"/>
      <c r="N115" s="10"/>
      <c r="O115" s="10"/>
      <c r="P115" s="16"/>
    </row>
    <row r="116" spans="1:16" ht="15" customHeight="1">
      <c r="D116" s="50" t="s">
        <v>169</v>
      </c>
      <c r="E116" s="63"/>
      <c r="F116" s="16"/>
      <c r="G116" s="16"/>
      <c r="H116" s="16"/>
      <c r="I116" s="16"/>
      <c r="J116" s="16"/>
      <c r="K116" s="16"/>
      <c r="L116" s="16"/>
      <c r="M116" s="16"/>
      <c r="N116" s="10"/>
      <c r="O116" s="10"/>
      <c r="P116" s="16"/>
    </row>
    <row r="117" spans="1:16" ht="15" customHeight="1">
      <c r="D117" s="51" t="s">
        <v>166</v>
      </c>
      <c r="E117" s="63"/>
      <c r="F117" s="16"/>
      <c r="G117" s="16"/>
      <c r="H117" s="16"/>
      <c r="I117" s="16"/>
      <c r="J117" s="16"/>
      <c r="K117" s="16"/>
      <c r="L117" s="16"/>
      <c r="M117" s="16"/>
      <c r="N117" s="10"/>
      <c r="O117" s="10"/>
      <c r="P117" s="16"/>
    </row>
    <row r="118" spans="1:16">
      <c r="D118" s="50" t="s">
        <v>185</v>
      </c>
      <c r="E118" s="63"/>
      <c r="F118" s="16"/>
      <c r="G118" s="16"/>
      <c r="H118" s="16"/>
      <c r="I118" s="16"/>
      <c r="J118" s="16"/>
      <c r="K118" s="16"/>
      <c r="L118" s="16"/>
      <c r="M118" s="16"/>
      <c r="N118" s="10"/>
      <c r="O118" s="10"/>
      <c r="P118" s="16"/>
    </row>
    <row r="119" spans="1:16">
      <c r="D119" s="50" t="s">
        <v>217</v>
      </c>
      <c r="E119" s="63"/>
      <c r="F119" s="16"/>
      <c r="G119" s="16"/>
      <c r="H119" s="16"/>
      <c r="I119" s="16"/>
      <c r="J119" s="16"/>
      <c r="K119" s="16"/>
      <c r="L119" s="16"/>
      <c r="M119" s="16"/>
      <c r="N119" s="10"/>
      <c r="O119" s="10"/>
      <c r="P119" s="16"/>
    </row>
    <row r="120" spans="1:16" ht="15.95" customHeight="1">
      <c r="D120" s="39" t="s">
        <v>218</v>
      </c>
      <c r="E120" s="63"/>
      <c r="F120" s="16"/>
      <c r="G120" s="16"/>
      <c r="H120" s="16"/>
      <c r="I120" s="16"/>
      <c r="J120" s="16"/>
      <c r="K120" s="16"/>
      <c r="L120" s="16"/>
      <c r="M120" s="16"/>
      <c r="N120" s="10"/>
      <c r="O120" s="10"/>
      <c r="P120" s="16"/>
    </row>
    <row r="121" spans="1:16" ht="15.95" customHeight="1">
      <c r="D121" s="10" t="s">
        <v>219</v>
      </c>
      <c r="E121" s="63"/>
      <c r="F121" s="16"/>
      <c r="G121" s="16"/>
      <c r="H121" s="16"/>
      <c r="I121" s="16"/>
      <c r="J121" s="16"/>
      <c r="K121" s="16"/>
      <c r="L121" s="16"/>
      <c r="M121" s="16"/>
      <c r="N121" s="10"/>
      <c r="O121" s="10"/>
      <c r="P121" s="16"/>
    </row>
    <row r="122" spans="1:16" ht="15.95" customHeight="1">
      <c r="E122" s="63"/>
      <c r="F122" s="16"/>
      <c r="G122" s="16"/>
      <c r="H122" s="16"/>
      <c r="I122" s="16"/>
      <c r="J122" s="16"/>
      <c r="K122" s="16"/>
      <c r="L122" s="16"/>
      <c r="M122" s="16"/>
      <c r="N122" s="10"/>
      <c r="O122" s="10"/>
      <c r="P122" s="16"/>
    </row>
    <row r="123" spans="1:16" ht="18">
      <c r="D123" s="66" t="s">
        <v>229</v>
      </c>
      <c r="F123" s="10"/>
      <c r="G123" s="10"/>
      <c r="H123" s="10"/>
      <c r="I123" s="10"/>
      <c r="J123" s="10"/>
      <c r="K123" s="10"/>
      <c r="L123" s="10"/>
      <c r="M123" s="10"/>
      <c r="N123" s="10"/>
      <c r="O123" s="10"/>
      <c r="P123" s="10"/>
    </row>
    <row r="124" spans="1:16">
      <c r="E124" s="63"/>
      <c r="F124" s="16"/>
      <c r="G124" s="16"/>
      <c r="H124" s="16"/>
      <c r="I124" s="16"/>
      <c r="J124" s="16"/>
      <c r="K124" s="16"/>
      <c r="L124" s="16"/>
      <c r="M124" s="16"/>
      <c r="N124" s="10"/>
      <c r="O124" s="10"/>
      <c r="P124" s="16"/>
    </row>
    <row r="125" spans="1:16" s="25" customFormat="1">
      <c r="A125" s="89" t="s">
        <v>93</v>
      </c>
      <c r="B125" s="22"/>
      <c r="C125" s="22"/>
      <c r="D125" s="20" t="s">
        <v>36</v>
      </c>
      <c r="E125" s="20"/>
      <c r="F125" s="12"/>
      <c r="G125" s="12"/>
      <c r="H125" s="12"/>
      <c r="I125" s="12"/>
      <c r="J125" s="12"/>
      <c r="K125" s="12"/>
      <c r="L125" s="12"/>
      <c r="M125" s="12"/>
      <c r="N125" s="21"/>
      <c r="O125" s="21"/>
      <c r="P125" s="2"/>
    </row>
    <row r="126" spans="1:16">
      <c r="D126" s="20"/>
      <c r="E126" s="21"/>
      <c r="F126" s="15" t="str">
        <f t="shared" ref="F126:O126" si="11">F$35</f>
        <v>2021</v>
      </c>
      <c r="G126" s="15" t="str">
        <f t="shared" si="11"/>
        <v>2022</v>
      </c>
      <c r="H126" s="15" t="str">
        <f t="shared" si="11"/>
        <v>2023</v>
      </c>
      <c r="I126" s="15" t="str">
        <f t="shared" si="11"/>
        <v>2024</v>
      </c>
      <c r="J126" s="15" t="str">
        <f t="shared" si="11"/>
        <v>2025</v>
      </c>
      <c r="K126" s="15" t="str">
        <f t="shared" si="11"/>
        <v>2026</v>
      </c>
      <c r="L126" s="15" t="str">
        <f t="shared" si="11"/>
        <v>2027</v>
      </c>
      <c r="M126" s="15" t="str">
        <f t="shared" si="11"/>
        <v>2028</v>
      </c>
      <c r="N126" s="15" t="str">
        <f t="shared" si="11"/>
        <v>2029</v>
      </c>
      <c r="O126" s="15" t="str">
        <f t="shared" si="11"/>
        <v>2030</v>
      </c>
      <c r="P126" s="3"/>
    </row>
    <row r="127" spans="1:16">
      <c r="B127" s="69"/>
      <c r="C127" s="69"/>
      <c r="D127" s="63" t="s">
        <v>60</v>
      </c>
      <c r="E127" s="26"/>
      <c r="F127" s="44" t="s">
        <v>0</v>
      </c>
      <c r="G127" s="44" t="s">
        <v>0</v>
      </c>
      <c r="H127" s="44" t="s">
        <v>0</v>
      </c>
      <c r="I127" s="44" t="s">
        <v>0</v>
      </c>
      <c r="J127" s="48" t="str">
        <f>$J$54</f>
        <v>Actual</v>
      </c>
      <c r="K127" s="44" t="s">
        <v>1</v>
      </c>
      <c r="L127" s="44" t="s">
        <v>1</v>
      </c>
      <c r="M127" s="44" t="s">
        <v>1</v>
      </c>
      <c r="N127" s="44" t="s">
        <v>1</v>
      </c>
      <c r="O127" s="44" t="s">
        <v>1</v>
      </c>
      <c r="P127" s="70"/>
    </row>
    <row r="128" spans="1:16">
      <c r="N128" s="10"/>
      <c r="O128" s="10"/>
      <c r="P128" s="4"/>
    </row>
    <row r="129" spans="1:16">
      <c r="D129" s="10" t="s">
        <v>9</v>
      </c>
      <c r="F129" s="13">
        <v>2132</v>
      </c>
      <c r="G129" s="13">
        <v>2247</v>
      </c>
      <c r="H129" s="13">
        <v>2355</v>
      </c>
      <c r="I129" s="13">
        <v>2710</v>
      </c>
      <c r="J129" s="13">
        <v>3074</v>
      </c>
      <c r="K129" s="13">
        <v>3062</v>
      </c>
      <c r="L129" s="13">
        <v>3074</v>
      </c>
      <c r="M129" s="13">
        <v>3138</v>
      </c>
      <c r="N129" s="13">
        <v>3195</v>
      </c>
      <c r="O129" s="13">
        <v>3229</v>
      </c>
      <c r="P129" s="82"/>
    </row>
    <row r="130" spans="1:16">
      <c r="D130" s="10" t="s">
        <v>61</v>
      </c>
      <c r="F130" s="13">
        <v>8230</v>
      </c>
      <c r="G130" s="13">
        <v>8478</v>
      </c>
      <c r="H130" s="13">
        <v>8616</v>
      </c>
      <c r="I130" s="13">
        <v>9741</v>
      </c>
      <c r="J130" s="13">
        <v>9950</v>
      </c>
      <c r="K130" s="13">
        <v>10495</v>
      </c>
      <c r="L130" s="13">
        <v>11218</v>
      </c>
      <c r="M130" s="13">
        <v>11209</v>
      </c>
      <c r="N130" s="13">
        <v>11035</v>
      </c>
      <c r="O130" s="13">
        <v>10998</v>
      </c>
      <c r="P130" s="82"/>
    </row>
    <row r="131" spans="1:16">
      <c r="D131" s="10" t="s">
        <v>160</v>
      </c>
      <c r="F131" s="13">
        <v>3519</v>
      </c>
      <c r="G131" s="13">
        <v>4804</v>
      </c>
      <c r="H131" s="13">
        <v>4663</v>
      </c>
      <c r="I131" s="13">
        <v>5014</v>
      </c>
      <c r="J131" s="13">
        <v>5171</v>
      </c>
      <c r="K131" s="13">
        <v>5321</v>
      </c>
      <c r="L131" s="13">
        <v>5437</v>
      </c>
      <c r="M131" s="13">
        <v>5377</v>
      </c>
      <c r="N131" s="13">
        <v>5281</v>
      </c>
      <c r="O131" s="13">
        <v>5287</v>
      </c>
      <c r="P131" s="82"/>
    </row>
    <row r="132" spans="1:16">
      <c r="D132" s="10" t="s">
        <v>2</v>
      </c>
      <c r="F132" s="13">
        <v>1656</v>
      </c>
      <c r="G132" s="13">
        <v>1962</v>
      </c>
      <c r="H132" s="13">
        <v>2188</v>
      </c>
      <c r="I132" s="13">
        <v>2513</v>
      </c>
      <c r="J132" s="13">
        <v>2576</v>
      </c>
      <c r="K132" s="13">
        <v>2522</v>
      </c>
      <c r="L132" s="13">
        <v>2546</v>
      </c>
      <c r="M132" s="13">
        <v>2443</v>
      </c>
      <c r="N132" s="13">
        <v>2356</v>
      </c>
      <c r="O132" s="13">
        <v>2170</v>
      </c>
      <c r="P132" s="82"/>
    </row>
    <row r="133" spans="1:16">
      <c r="D133" s="10" t="s">
        <v>114</v>
      </c>
      <c r="F133" s="13">
        <v>156</v>
      </c>
      <c r="G133" s="13">
        <v>255</v>
      </c>
      <c r="H133" s="13">
        <v>141</v>
      </c>
      <c r="I133" s="13">
        <v>90</v>
      </c>
      <c r="J133" s="13">
        <v>48</v>
      </c>
      <c r="K133" s="13">
        <v>23</v>
      </c>
      <c r="L133" s="13">
        <v>26</v>
      </c>
      <c r="M133" s="13">
        <v>26</v>
      </c>
      <c r="N133" s="13">
        <v>26</v>
      </c>
      <c r="O133" s="13">
        <v>26</v>
      </c>
    </row>
    <row r="134" spans="1:16" ht="18.75">
      <c r="D134" s="10" t="s">
        <v>159</v>
      </c>
      <c r="F134" s="13">
        <v>346</v>
      </c>
      <c r="G134" s="13">
        <v>277</v>
      </c>
      <c r="H134" s="13">
        <v>440</v>
      </c>
      <c r="I134" s="13">
        <v>155</v>
      </c>
      <c r="J134" s="13">
        <v>76</v>
      </c>
      <c r="K134" s="13">
        <v>117</v>
      </c>
      <c r="L134" s="13">
        <v>143</v>
      </c>
      <c r="M134" s="13">
        <v>71</v>
      </c>
      <c r="N134" s="13">
        <v>69</v>
      </c>
      <c r="O134" s="13">
        <v>70</v>
      </c>
    </row>
    <row r="135" spans="1:16" ht="16.5" thickBot="1">
      <c r="F135" s="45"/>
      <c r="G135" s="45"/>
      <c r="H135" s="45"/>
      <c r="I135" s="45"/>
      <c r="J135" s="45"/>
      <c r="K135" s="45"/>
      <c r="L135" s="45"/>
      <c r="M135" s="45"/>
      <c r="N135" s="45"/>
      <c r="O135" s="45"/>
      <c r="P135" s="5"/>
    </row>
    <row r="136" spans="1:16" s="83" customFormat="1" ht="18" customHeight="1" thickBot="1">
      <c r="A136" s="89"/>
      <c r="B136" s="88"/>
      <c r="C136" s="88"/>
      <c r="D136" s="101" t="s">
        <v>36</v>
      </c>
      <c r="E136" s="101"/>
      <c r="F136" s="86">
        <f t="shared" ref="F136:O136" si="12">SUM(F129:F135)</f>
        <v>16039</v>
      </c>
      <c r="G136" s="86">
        <f t="shared" si="12"/>
        <v>18023</v>
      </c>
      <c r="H136" s="86">
        <f t="shared" si="12"/>
        <v>18403</v>
      </c>
      <c r="I136" s="86">
        <f t="shared" si="12"/>
        <v>20223</v>
      </c>
      <c r="J136" s="86">
        <f t="shared" si="12"/>
        <v>20895</v>
      </c>
      <c r="K136" s="86">
        <f t="shared" si="12"/>
        <v>21540</v>
      </c>
      <c r="L136" s="86">
        <f t="shared" si="12"/>
        <v>22444</v>
      </c>
      <c r="M136" s="86">
        <f t="shared" si="12"/>
        <v>22264</v>
      </c>
      <c r="N136" s="86">
        <f t="shared" ref="N136" si="13">SUM(N129:N135)</f>
        <v>21962</v>
      </c>
      <c r="O136" s="86">
        <f t="shared" si="12"/>
        <v>21780</v>
      </c>
      <c r="P136" s="9"/>
    </row>
    <row r="137" spans="1:16">
      <c r="D137" s="22"/>
      <c r="E137" s="22"/>
      <c r="F137" s="10"/>
      <c r="G137" s="10"/>
      <c r="H137" s="10"/>
      <c r="I137" s="10"/>
      <c r="J137" s="10"/>
      <c r="K137" s="10"/>
      <c r="L137" s="10"/>
      <c r="M137" s="10"/>
      <c r="N137" s="10"/>
      <c r="O137" s="10"/>
      <c r="P137" s="10"/>
    </row>
    <row r="138" spans="1:16">
      <c r="D138" s="10" t="s">
        <v>158</v>
      </c>
      <c r="E138" s="63"/>
      <c r="F138" s="16"/>
      <c r="G138" s="16"/>
      <c r="H138" s="16"/>
      <c r="I138" s="16"/>
      <c r="J138" s="16"/>
      <c r="K138" s="16"/>
      <c r="L138" s="16"/>
      <c r="M138" s="16"/>
      <c r="N138" s="16"/>
      <c r="O138" s="16"/>
      <c r="P138" s="5"/>
    </row>
    <row r="139" spans="1:16">
      <c r="D139" s="63"/>
      <c r="E139" s="63"/>
      <c r="F139" s="16"/>
      <c r="G139" s="16"/>
      <c r="H139" s="16"/>
      <c r="I139" s="16"/>
      <c r="J139" s="16"/>
      <c r="K139" s="16"/>
      <c r="L139" s="16"/>
      <c r="M139" s="16"/>
      <c r="N139" s="16"/>
      <c r="O139" s="16"/>
      <c r="P139" s="5"/>
    </row>
    <row r="140" spans="1:16" ht="18">
      <c r="D140" s="66" t="s">
        <v>229</v>
      </c>
      <c r="E140" s="63"/>
      <c r="F140" s="16"/>
      <c r="G140" s="16"/>
      <c r="H140" s="16"/>
      <c r="I140" s="16"/>
      <c r="J140" s="16"/>
      <c r="K140" s="16"/>
      <c r="L140" s="16"/>
      <c r="M140" s="16"/>
      <c r="N140" s="16"/>
      <c r="O140" s="16"/>
      <c r="P140" s="5"/>
    </row>
    <row r="141" spans="1:16">
      <c r="E141" s="20"/>
      <c r="F141" s="15" t="str">
        <f t="shared" ref="F141:O141" si="14">F$35</f>
        <v>2021</v>
      </c>
      <c r="G141" s="15" t="str">
        <f t="shared" si="14"/>
        <v>2022</v>
      </c>
      <c r="H141" s="15" t="str">
        <f t="shared" si="14"/>
        <v>2023</v>
      </c>
      <c r="I141" s="15" t="str">
        <f>I$35</f>
        <v>2024</v>
      </c>
      <c r="J141" s="15" t="str">
        <f t="shared" si="14"/>
        <v>2025</v>
      </c>
      <c r="K141" s="15" t="str">
        <f t="shared" si="14"/>
        <v>2026</v>
      </c>
      <c r="L141" s="15" t="str">
        <f t="shared" si="14"/>
        <v>2027</v>
      </c>
      <c r="M141" s="15" t="str">
        <f t="shared" si="14"/>
        <v>2028</v>
      </c>
      <c r="N141" s="15" t="str">
        <f t="shared" si="14"/>
        <v>2029</v>
      </c>
      <c r="O141" s="15" t="str">
        <f t="shared" si="14"/>
        <v>2030</v>
      </c>
      <c r="P141" s="8"/>
    </row>
    <row r="142" spans="1:16" ht="18.75">
      <c r="B142" s="69"/>
      <c r="C142" s="69"/>
      <c r="D142" s="63" t="s">
        <v>70</v>
      </c>
      <c r="E142" s="63"/>
      <c r="F142" s="44" t="s">
        <v>0</v>
      </c>
      <c r="G142" s="44" t="s">
        <v>0</v>
      </c>
      <c r="H142" s="52" t="s">
        <v>0</v>
      </c>
      <c r="I142" s="52" t="s">
        <v>0</v>
      </c>
      <c r="J142" s="48" t="str">
        <f>$J$54</f>
        <v>Actual</v>
      </c>
      <c r="K142" s="44" t="s">
        <v>1</v>
      </c>
      <c r="L142" s="44" t="s">
        <v>1</v>
      </c>
      <c r="M142" s="44" t="s">
        <v>1</v>
      </c>
      <c r="N142" s="44" t="s">
        <v>1</v>
      </c>
      <c r="O142" s="44" t="s">
        <v>1</v>
      </c>
      <c r="P142" s="76"/>
    </row>
    <row r="143" spans="1:16">
      <c r="D143" s="20"/>
      <c r="E143" s="20"/>
      <c r="F143" s="19"/>
      <c r="G143" s="19"/>
      <c r="H143" s="16"/>
      <c r="I143" s="19"/>
      <c r="J143" s="19"/>
      <c r="K143" s="19"/>
      <c r="L143" s="19"/>
      <c r="M143" s="19"/>
      <c r="N143" s="10"/>
      <c r="O143" s="10"/>
      <c r="P143" s="11"/>
    </row>
    <row r="144" spans="1:16" ht="15.75" customHeight="1">
      <c r="D144" s="53" t="s">
        <v>9</v>
      </c>
      <c r="E144" s="54"/>
      <c r="F144" s="55">
        <v>225192.13699999999</v>
      </c>
      <c r="G144" s="55">
        <v>220742</v>
      </c>
      <c r="H144" s="55">
        <v>224043</v>
      </c>
      <c r="I144" s="23">
        <v>229654</v>
      </c>
      <c r="J144" s="23">
        <v>230405</v>
      </c>
      <c r="K144" s="23">
        <v>233313</v>
      </c>
      <c r="L144" s="23">
        <v>236300</v>
      </c>
      <c r="M144" s="23">
        <v>240858</v>
      </c>
      <c r="N144" s="23">
        <v>244191</v>
      </c>
      <c r="O144" s="23">
        <v>246430</v>
      </c>
      <c r="P144" s="23"/>
    </row>
    <row r="145" spans="1:16" ht="15.75" customHeight="1">
      <c r="E145" s="20"/>
      <c r="F145" s="55"/>
      <c r="G145" s="55"/>
      <c r="H145" s="55"/>
      <c r="I145" s="55"/>
      <c r="J145" s="55"/>
      <c r="K145" s="55"/>
      <c r="L145" s="55"/>
      <c r="M145" s="55"/>
      <c r="N145" s="55"/>
      <c r="O145" s="55"/>
    </row>
    <row r="146" spans="1:16">
      <c r="D146" s="10" t="s">
        <v>142</v>
      </c>
      <c r="E146" s="56"/>
      <c r="F146" s="56"/>
      <c r="G146" s="56"/>
      <c r="H146" s="56"/>
      <c r="I146" s="56"/>
      <c r="J146" s="56"/>
      <c r="K146" s="56"/>
      <c r="L146" s="56"/>
      <c r="M146" s="56"/>
      <c r="N146" s="56"/>
      <c r="O146" s="56"/>
      <c r="P146" s="6"/>
    </row>
    <row r="147" spans="1:16">
      <c r="D147" s="10" t="s">
        <v>146</v>
      </c>
      <c r="E147" s="56"/>
      <c r="F147" s="56"/>
      <c r="G147" s="56"/>
      <c r="H147" s="56"/>
      <c r="I147" s="56"/>
      <c r="J147" s="56"/>
      <c r="K147" s="56"/>
      <c r="L147" s="56"/>
      <c r="M147" s="56"/>
      <c r="N147" s="56"/>
      <c r="O147" s="56"/>
      <c r="P147" s="6"/>
    </row>
    <row r="148" spans="1:16" ht="16.5">
      <c r="D148" s="10" t="s">
        <v>193</v>
      </c>
      <c r="E148" s="56"/>
      <c r="F148" s="56"/>
      <c r="G148" s="56"/>
      <c r="H148" s="56"/>
      <c r="I148" s="57"/>
      <c r="J148" s="56"/>
      <c r="K148" s="56"/>
      <c r="L148" s="56"/>
      <c r="M148" s="56"/>
      <c r="N148" s="56"/>
      <c r="O148" s="56"/>
      <c r="P148" s="6"/>
    </row>
    <row r="149" spans="1:16">
      <c r="D149" s="25"/>
      <c r="E149" s="46"/>
      <c r="F149" s="46"/>
      <c r="G149" s="46"/>
      <c r="H149" s="46"/>
      <c r="I149" s="46"/>
      <c r="J149" s="46"/>
      <c r="K149" s="46"/>
      <c r="L149" s="46"/>
      <c r="M149" s="46"/>
      <c r="N149" s="46"/>
      <c r="O149" s="46"/>
      <c r="P149" s="6"/>
    </row>
    <row r="150" spans="1:16" s="21" customFormat="1" ht="18">
      <c r="A150" s="89"/>
      <c r="B150" s="22"/>
      <c r="C150" s="22"/>
      <c r="D150" s="66" t="s">
        <v>231</v>
      </c>
      <c r="F150" s="14"/>
      <c r="G150" s="14"/>
      <c r="H150" s="14"/>
      <c r="I150" s="14"/>
      <c r="J150" s="14"/>
      <c r="K150" s="14"/>
      <c r="L150" s="14"/>
      <c r="M150" s="14"/>
      <c r="N150" s="14"/>
      <c r="O150" s="14"/>
      <c r="P150" s="1"/>
    </row>
    <row r="151" spans="1:16" s="21" customFormat="1">
      <c r="A151" s="89"/>
      <c r="B151" s="22"/>
      <c r="C151" s="22"/>
      <c r="D151" s="20"/>
      <c r="F151" s="14"/>
      <c r="G151" s="14"/>
      <c r="H151" s="14"/>
      <c r="I151" s="14"/>
      <c r="J151" s="14"/>
      <c r="K151" s="14"/>
      <c r="L151" s="14"/>
      <c r="M151" s="14"/>
      <c r="N151" s="14"/>
      <c r="O151" s="14"/>
      <c r="P151" s="1"/>
    </row>
    <row r="152" spans="1:16" s="25" customFormat="1">
      <c r="A152" s="89" t="s">
        <v>94</v>
      </c>
      <c r="B152" s="22"/>
      <c r="C152" s="22"/>
      <c r="D152" s="20" t="s">
        <v>72</v>
      </c>
      <c r="E152" s="20"/>
      <c r="F152" s="12"/>
      <c r="G152" s="12"/>
      <c r="H152" s="12"/>
      <c r="I152" s="12"/>
      <c r="J152" s="12"/>
      <c r="K152" s="12"/>
      <c r="L152" s="12"/>
      <c r="M152" s="12"/>
      <c r="N152" s="12"/>
      <c r="O152" s="12"/>
      <c r="P152" s="2"/>
    </row>
    <row r="153" spans="1:16">
      <c r="D153" s="20"/>
      <c r="E153" s="21"/>
      <c r="F153" s="15" t="str">
        <f t="shared" ref="F153:O153" si="15">F$35</f>
        <v>2021</v>
      </c>
      <c r="G153" s="15" t="str">
        <f t="shared" si="15"/>
        <v>2022</v>
      </c>
      <c r="H153" s="15" t="str">
        <f t="shared" si="15"/>
        <v>2023</v>
      </c>
      <c r="I153" s="15" t="str">
        <f t="shared" si="15"/>
        <v>2024</v>
      </c>
      <c r="J153" s="15" t="str">
        <f t="shared" si="15"/>
        <v>2025</v>
      </c>
      <c r="K153" s="15" t="str">
        <f t="shared" si="15"/>
        <v>2026</v>
      </c>
      <c r="L153" s="15" t="str">
        <f t="shared" si="15"/>
        <v>2027</v>
      </c>
      <c r="M153" s="15" t="str">
        <f t="shared" si="15"/>
        <v>2028</v>
      </c>
      <c r="N153" s="15" t="str">
        <f t="shared" si="15"/>
        <v>2029</v>
      </c>
      <c r="O153" s="15" t="str">
        <f t="shared" si="15"/>
        <v>2030</v>
      </c>
      <c r="P153" s="3"/>
    </row>
    <row r="154" spans="1:16">
      <c r="B154" s="69"/>
      <c r="C154" s="69"/>
      <c r="D154" s="63" t="s">
        <v>60</v>
      </c>
      <c r="E154" s="26"/>
      <c r="F154" s="44" t="s">
        <v>0</v>
      </c>
      <c r="G154" s="44" t="s">
        <v>0</v>
      </c>
      <c r="H154" s="44" t="s">
        <v>0</v>
      </c>
      <c r="I154" s="44" t="s">
        <v>0</v>
      </c>
      <c r="J154" s="48" t="str">
        <f>$J$54</f>
        <v>Actual</v>
      </c>
      <c r="K154" s="44" t="s">
        <v>1</v>
      </c>
      <c r="L154" s="44" t="s">
        <v>1</v>
      </c>
      <c r="M154" s="44" t="s">
        <v>1</v>
      </c>
      <c r="N154" s="44" t="s">
        <v>1</v>
      </c>
      <c r="O154" s="44" t="s">
        <v>1</v>
      </c>
      <c r="P154" s="70"/>
    </row>
    <row r="155" spans="1:16">
      <c r="N155" s="10"/>
      <c r="O155" s="10"/>
      <c r="P155" s="4"/>
    </row>
    <row r="156" spans="1:16">
      <c r="D156" s="10" t="s">
        <v>10</v>
      </c>
      <c r="F156" s="13">
        <v>4107</v>
      </c>
      <c r="G156" s="13">
        <v>4122</v>
      </c>
      <c r="H156" s="13">
        <v>4116</v>
      </c>
      <c r="I156" s="13">
        <v>4656</v>
      </c>
      <c r="J156" s="13">
        <v>4794</v>
      </c>
      <c r="K156" s="13">
        <v>5055</v>
      </c>
      <c r="L156" s="13">
        <v>0</v>
      </c>
      <c r="M156" s="13">
        <v>0</v>
      </c>
      <c r="N156" s="13">
        <v>0</v>
      </c>
      <c r="O156" s="13">
        <v>0</v>
      </c>
      <c r="P156" s="4"/>
    </row>
    <row r="157" spans="1:16">
      <c r="D157" s="10" t="s">
        <v>11</v>
      </c>
      <c r="F157" s="13">
        <v>3043</v>
      </c>
      <c r="G157" s="13">
        <v>3135</v>
      </c>
      <c r="H157" s="13">
        <v>3174</v>
      </c>
      <c r="I157" s="13">
        <v>3617</v>
      </c>
      <c r="J157" s="13">
        <v>3693</v>
      </c>
      <c r="K157" s="13">
        <v>3979</v>
      </c>
      <c r="L157" s="13">
        <v>0</v>
      </c>
      <c r="M157" s="13">
        <v>0</v>
      </c>
      <c r="N157" s="13">
        <v>0</v>
      </c>
      <c r="O157" s="13">
        <v>0</v>
      </c>
      <c r="P157" s="4"/>
    </row>
    <row r="158" spans="1:16">
      <c r="D158" s="10" t="s">
        <v>12</v>
      </c>
      <c r="F158" s="13">
        <v>216</v>
      </c>
      <c r="G158" s="13">
        <v>210</v>
      </c>
      <c r="H158" s="13">
        <v>235</v>
      </c>
      <c r="I158" s="13">
        <v>255</v>
      </c>
      <c r="J158" s="13">
        <v>263</v>
      </c>
      <c r="K158" s="13">
        <v>270</v>
      </c>
      <c r="L158" s="13">
        <v>0</v>
      </c>
      <c r="M158" s="13">
        <v>0</v>
      </c>
      <c r="N158" s="13">
        <v>0</v>
      </c>
      <c r="O158" s="13">
        <v>0</v>
      </c>
      <c r="P158" s="4"/>
    </row>
    <row r="159" spans="1:16">
      <c r="D159" s="10" t="s">
        <v>54</v>
      </c>
      <c r="F159" s="13">
        <v>104</v>
      </c>
      <c r="G159" s="13">
        <v>129</v>
      </c>
      <c r="H159" s="13">
        <v>128</v>
      </c>
      <c r="I159" s="13">
        <v>129</v>
      </c>
      <c r="J159" s="13">
        <v>130</v>
      </c>
      <c r="K159" s="13">
        <v>112</v>
      </c>
      <c r="L159" s="13">
        <v>0</v>
      </c>
      <c r="M159" s="13">
        <v>0</v>
      </c>
      <c r="N159" s="13">
        <v>0</v>
      </c>
      <c r="O159" s="13">
        <v>0</v>
      </c>
      <c r="P159" s="4"/>
    </row>
    <row r="160" spans="1:16">
      <c r="D160" s="10" t="s">
        <v>55</v>
      </c>
      <c r="F160" s="13">
        <v>25</v>
      </c>
      <c r="G160" s="13">
        <v>20</v>
      </c>
      <c r="H160" s="13">
        <v>23</v>
      </c>
      <c r="I160" s="13">
        <v>34</v>
      </c>
      <c r="J160" s="13">
        <v>24</v>
      </c>
      <c r="K160" s="13">
        <v>33</v>
      </c>
      <c r="L160" s="13">
        <v>0</v>
      </c>
      <c r="M160" s="13">
        <v>0</v>
      </c>
      <c r="N160" s="13">
        <v>0</v>
      </c>
      <c r="O160" s="13">
        <v>0</v>
      </c>
    </row>
    <row r="161" spans="1:16" ht="15.75" customHeight="1">
      <c r="D161" s="10" t="s">
        <v>121</v>
      </c>
      <c r="F161" s="13">
        <v>94</v>
      </c>
      <c r="G161" s="13">
        <v>204</v>
      </c>
      <c r="H161" s="13">
        <v>267</v>
      </c>
      <c r="I161" s="13">
        <v>285</v>
      </c>
      <c r="J161" s="13">
        <v>246</v>
      </c>
      <c r="K161" s="13">
        <v>198</v>
      </c>
      <c r="L161" s="13">
        <v>0</v>
      </c>
      <c r="M161" s="13">
        <v>0</v>
      </c>
      <c r="N161" s="13">
        <v>0</v>
      </c>
      <c r="O161" s="13">
        <v>0</v>
      </c>
    </row>
    <row r="162" spans="1:16" ht="18.75">
      <c r="D162" s="10" t="s">
        <v>203</v>
      </c>
      <c r="F162" s="13">
        <v>641</v>
      </c>
      <c r="G162" s="13">
        <v>658</v>
      </c>
      <c r="H162" s="13">
        <v>673</v>
      </c>
      <c r="I162" s="13">
        <v>765</v>
      </c>
      <c r="J162" s="13">
        <v>800</v>
      </c>
      <c r="K162" s="13">
        <v>848</v>
      </c>
      <c r="L162" s="13">
        <v>561</v>
      </c>
      <c r="M162" s="13">
        <v>598</v>
      </c>
      <c r="N162" s="13">
        <v>625</v>
      </c>
      <c r="O162" s="13">
        <v>633</v>
      </c>
      <c r="P162" s="4"/>
    </row>
    <row r="163" spans="1:16" ht="18.75">
      <c r="D163" s="10" t="s">
        <v>209</v>
      </c>
      <c r="E163" s="63"/>
      <c r="F163" s="13">
        <v>0</v>
      </c>
      <c r="G163" s="13">
        <v>0</v>
      </c>
      <c r="H163" s="13">
        <v>0</v>
      </c>
      <c r="I163" s="13">
        <v>0</v>
      </c>
      <c r="J163" s="13">
        <v>0</v>
      </c>
      <c r="K163" s="13">
        <v>0</v>
      </c>
      <c r="L163" s="13">
        <v>6839</v>
      </c>
      <c r="M163" s="13">
        <v>6925</v>
      </c>
      <c r="N163" s="13">
        <v>6846</v>
      </c>
      <c r="O163" s="13">
        <v>6804</v>
      </c>
      <c r="P163" s="16"/>
    </row>
    <row r="164" spans="1:16" ht="18.75">
      <c r="D164" s="10" t="s">
        <v>210</v>
      </c>
      <c r="F164" s="13">
        <v>0</v>
      </c>
      <c r="G164" s="13">
        <v>0</v>
      </c>
      <c r="H164" s="13">
        <v>0</v>
      </c>
      <c r="I164" s="13">
        <v>0</v>
      </c>
      <c r="J164" s="13">
        <v>0</v>
      </c>
      <c r="K164" s="13">
        <v>0</v>
      </c>
      <c r="L164" s="13">
        <v>854</v>
      </c>
      <c r="M164" s="13">
        <v>743</v>
      </c>
      <c r="N164" s="13">
        <v>641</v>
      </c>
      <c r="O164" s="13">
        <v>641</v>
      </c>
      <c r="P164" s="16"/>
    </row>
    <row r="165" spans="1:16" ht="18.75">
      <c r="D165" s="10" t="s">
        <v>211</v>
      </c>
      <c r="F165" s="13">
        <v>0</v>
      </c>
      <c r="G165" s="13">
        <v>0</v>
      </c>
      <c r="H165" s="13">
        <v>0</v>
      </c>
      <c r="I165" s="13">
        <v>0</v>
      </c>
      <c r="J165" s="13">
        <v>0</v>
      </c>
      <c r="K165" s="13">
        <v>0</v>
      </c>
      <c r="L165" s="13">
        <v>2964</v>
      </c>
      <c r="M165" s="13">
        <v>2943</v>
      </c>
      <c r="N165" s="13">
        <v>2923</v>
      </c>
      <c r="O165" s="13">
        <v>2920</v>
      </c>
      <c r="P165" s="6"/>
    </row>
    <row r="166" spans="1:16" ht="16.5" thickBot="1">
      <c r="E166" s="20"/>
      <c r="F166" s="45"/>
      <c r="G166" s="45"/>
      <c r="H166" s="45"/>
      <c r="I166" s="45"/>
      <c r="J166" s="45"/>
      <c r="K166" s="45"/>
      <c r="L166" s="45"/>
      <c r="M166" s="45"/>
      <c r="N166" s="61"/>
      <c r="O166" s="61"/>
      <c r="P166" s="6"/>
    </row>
    <row r="167" spans="1:16" s="83" customFormat="1" ht="18" customHeight="1" thickBot="1">
      <c r="A167" s="89"/>
      <c r="B167" s="88"/>
      <c r="C167" s="88"/>
      <c r="D167" s="101" t="s">
        <v>37</v>
      </c>
      <c r="E167" s="101"/>
      <c r="F167" s="90">
        <f t="shared" ref="F167:O167" si="16">SUM(F156:F166)</f>
        <v>8230</v>
      </c>
      <c r="G167" s="90">
        <f t="shared" si="16"/>
        <v>8478</v>
      </c>
      <c r="H167" s="90">
        <f t="shared" si="16"/>
        <v>8616</v>
      </c>
      <c r="I167" s="90">
        <f t="shared" si="16"/>
        <v>9741</v>
      </c>
      <c r="J167" s="90">
        <f t="shared" si="16"/>
        <v>9950</v>
      </c>
      <c r="K167" s="90">
        <f t="shared" si="16"/>
        <v>10495</v>
      </c>
      <c r="L167" s="90">
        <f t="shared" si="16"/>
        <v>11218</v>
      </c>
      <c r="M167" s="90">
        <f t="shared" si="16"/>
        <v>11209</v>
      </c>
      <c r="N167" s="90">
        <f t="shared" si="16"/>
        <v>11035</v>
      </c>
      <c r="O167" s="90">
        <f t="shared" si="16"/>
        <v>10998</v>
      </c>
      <c r="P167" s="9"/>
    </row>
    <row r="168" spans="1:16" s="83" customFormat="1" ht="18" customHeight="1">
      <c r="A168" s="89"/>
      <c r="B168" s="88"/>
      <c r="C168" s="88"/>
      <c r="D168" s="93"/>
      <c r="E168" s="93"/>
      <c r="F168" s="94"/>
      <c r="G168" s="94"/>
      <c r="H168" s="94"/>
      <c r="I168" s="94"/>
      <c r="J168" s="94"/>
      <c r="K168" s="94"/>
      <c r="L168" s="94"/>
      <c r="M168" s="94"/>
      <c r="N168" s="94"/>
      <c r="O168" s="94"/>
      <c r="P168" s="9"/>
    </row>
    <row r="169" spans="1:16">
      <c r="D169" s="10" t="s">
        <v>196</v>
      </c>
      <c r="E169" s="63"/>
      <c r="F169" s="16"/>
      <c r="G169" s="16"/>
      <c r="H169" s="16"/>
      <c r="I169" s="16"/>
      <c r="J169" s="16"/>
      <c r="K169" s="16"/>
      <c r="L169" s="16"/>
      <c r="M169" s="16"/>
      <c r="N169" s="16"/>
      <c r="O169" s="16"/>
      <c r="P169" s="5"/>
    </row>
    <row r="170" spans="1:16" s="25" customFormat="1">
      <c r="A170" s="89"/>
      <c r="B170" s="22"/>
      <c r="C170" s="22"/>
      <c r="D170" s="10" t="s">
        <v>204</v>
      </c>
      <c r="E170" s="63"/>
      <c r="F170" s="16"/>
      <c r="G170" s="16"/>
      <c r="H170" s="16"/>
      <c r="I170" s="16"/>
      <c r="J170" s="16"/>
      <c r="K170" s="16"/>
      <c r="L170" s="16"/>
      <c r="M170" s="16"/>
      <c r="N170" s="16"/>
      <c r="O170" s="16"/>
      <c r="P170" s="5"/>
    </row>
    <row r="171" spans="1:16" s="21" customFormat="1">
      <c r="A171" s="89"/>
      <c r="B171" s="22"/>
      <c r="C171" s="22"/>
      <c r="F171" s="14"/>
      <c r="G171" s="14"/>
      <c r="H171" s="14"/>
      <c r="I171" s="13"/>
      <c r="J171" s="13"/>
      <c r="K171" s="13"/>
      <c r="L171" s="13"/>
      <c r="M171" s="13"/>
      <c r="N171" s="13"/>
      <c r="O171" s="13"/>
      <c r="P171" s="6"/>
    </row>
    <row r="172" spans="1:16" ht="18">
      <c r="D172" s="66" t="s">
        <v>229</v>
      </c>
      <c r="F172" s="16"/>
      <c r="G172" s="16"/>
      <c r="H172" s="16"/>
      <c r="I172" s="16"/>
      <c r="J172" s="16"/>
      <c r="K172" s="16"/>
      <c r="L172" s="16"/>
      <c r="M172" s="16"/>
      <c r="N172" s="16"/>
      <c r="O172" s="16"/>
      <c r="P172" s="5"/>
    </row>
    <row r="173" spans="1:16">
      <c r="E173" s="20"/>
      <c r="F173" s="15" t="str">
        <f t="shared" ref="F173:O173" si="17">F$35</f>
        <v>2021</v>
      </c>
      <c r="G173" s="15" t="str">
        <f t="shared" si="17"/>
        <v>2022</v>
      </c>
      <c r="H173" s="15" t="str">
        <f t="shared" si="17"/>
        <v>2023</v>
      </c>
      <c r="I173" s="15" t="str">
        <f t="shared" si="17"/>
        <v>2024</v>
      </c>
      <c r="J173" s="15" t="str">
        <f t="shared" si="17"/>
        <v>2025</v>
      </c>
      <c r="K173" s="15" t="str">
        <f t="shared" si="17"/>
        <v>2026</v>
      </c>
      <c r="L173" s="15" t="str">
        <f t="shared" si="17"/>
        <v>2027</v>
      </c>
      <c r="M173" s="15" t="str">
        <f t="shared" si="17"/>
        <v>2028</v>
      </c>
      <c r="N173" s="15" t="str">
        <f t="shared" si="17"/>
        <v>2029</v>
      </c>
      <c r="O173" s="15" t="str">
        <f t="shared" si="17"/>
        <v>2030</v>
      </c>
    </row>
    <row r="174" spans="1:16" ht="18.75">
      <c r="B174" s="69"/>
      <c r="C174" s="69"/>
      <c r="D174" s="63" t="s">
        <v>70</v>
      </c>
      <c r="E174" s="25"/>
      <c r="F174" s="44" t="s">
        <v>0</v>
      </c>
      <c r="G174" s="44" t="s">
        <v>0</v>
      </c>
      <c r="H174" s="44" t="s">
        <v>0</v>
      </c>
      <c r="I174" s="44" t="s">
        <v>0</v>
      </c>
      <c r="J174" s="48" t="str">
        <f>$J$54</f>
        <v>Actual</v>
      </c>
      <c r="K174" s="44" t="s">
        <v>1</v>
      </c>
      <c r="L174" s="44" t="s">
        <v>1</v>
      </c>
      <c r="M174" s="44" t="s">
        <v>1</v>
      </c>
      <c r="N174" s="44" t="s">
        <v>1</v>
      </c>
      <c r="O174" s="44" t="s">
        <v>1</v>
      </c>
      <c r="P174" s="76"/>
    </row>
    <row r="175" spans="1:16">
      <c r="D175" s="20"/>
      <c r="F175" s="19"/>
      <c r="G175" s="19"/>
      <c r="H175" s="19"/>
      <c r="I175" s="19"/>
      <c r="J175" s="19"/>
      <c r="K175" s="19"/>
      <c r="L175" s="19"/>
      <c r="M175" s="19"/>
      <c r="N175" s="10"/>
      <c r="O175" s="10"/>
      <c r="P175" s="11"/>
    </row>
    <row r="176" spans="1:16">
      <c r="D176" s="53" t="s">
        <v>67</v>
      </c>
      <c r="E176" s="54"/>
      <c r="F176" s="23">
        <v>529859</v>
      </c>
      <c r="G176" s="23">
        <v>520060</v>
      </c>
      <c r="H176" s="23">
        <v>523982</v>
      </c>
      <c r="I176" s="23">
        <v>529722</v>
      </c>
      <c r="J176" s="23">
        <v>526590</v>
      </c>
      <c r="K176" s="23">
        <v>521335</v>
      </c>
      <c r="L176" s="23">
        <v>519913</v>
      </c>
      <c r="M176" s="23">
        <v>516463</v>
      </c>
      <c r="N176" s="23">
        <v>510429</v>
      </c>
      <c r="O176" s="23">
        <v>507688</v>
      </c>
      <c r="P176" s="18"/>
    </row>
    <row r="177" spans="1:16" ht="15.75" customHeight="1">
      <c r="D177" s="53" t="s">
        <v>68</v>
      </c>
      <c r="E177" s="54"/>
      <c r="F177" s="23">
        <v>294216</v>
      </c>
      <c r="G177" s="23">
        <v>297308.59999999998</v>
      </c>
      <c r="H177" s="23">
        <v>303706</v>
      </c>
      <c r="I177" s="23">
        <v>315903</v>
      </c>
      <c r="J177" s="23">
        <v>322805</v>
      </c>
      <c r="K177" s="23">
        <v>325050</v>
      </c>
      <c r="L177" s="23">
        <v>324094</v>
      </c>
      <c r="M177" s="23">
        <v>321776</v>
      </c>
      <c r="N177" s="23">
        <v>320874</v>
      </c>
      <c r="O177" s="23">
        <v>318967</v>
      </c>
      <c r="P177" s="18"/>
    </row>
    <row r="178" spans="1:16">
      <c r="F178" s="18"/>
      <c r="G178" s="18"/>
      <c r="H178" s="18"/>
      <c r="I178" s="18"/>
      <c r="J178" s="18"/>
      <c r="K178" s="18"/>
      <c r="L178" s="18"/>
      <c r="M178" s="18"/>
      <c r="N178" s="18"/>
      <c r="O178" s="18"/>
    </row>
    <row r="179" spans="1:16">
      <c r="D179" s="10" t="s">
        <v>110</v>
      </c>
      <c r="E179" s="25"/>
      <c r="F179" s="25"/>
      <c r="G179" s="25"/>
      <c r="H179" s="25"/>
      <c r="I179" s="25"/>
      <c r="J179" s="25"/>
      <c r="K179" s="25"/>
      <c r="L179" s="25"/>
      <c r="M179" s="25"/>
      <c r="N179" s="25"/>
      <c r="O179" s="25"/>
    </row>
    <row r="180" spans="1:16">
      <c r="D180" s="10" t="s">
        <v>172</v>
      </c>
      <c r="E180" s="46"/>
      <c r="F180" s="46"/>
      <c r="G180" s="46"/>
      <c r="H180" s="46"/>
      <c r="I180" s="46"/>
      <c r="J180" s="46"/>
      <c r="K180" s="46"/>
      <c r="L180" s="46"/>
      <c r="M180" s="46"/>
      <c r="N180" s="46"/>
      <c r="O180" s="46"/>
    </row>
    <row r="181" spans="1:16">
      <c r="D181" s="39"/>
    </row>
    <row r="182" spans="1:16" s="21" customFormat="1" ht="18">
      <c r="A182" s="89"/>
      <c r="B182" s="22"/>
      <c r="C182" s="22"/>
      <c r="D182" s="66" t="s">
        <v>232</v>
      </c>
      <c r="F182" s="14"/>
      <c r="G182" s="14"/>
      <c r="H182" s="14"/>
      <c r="I182" s="14"/>
      <c r="J182" s="14"/>
      <c r="K182" s="14"/>
      <c r="L182" s="14"/>
      <c r="M182" s="14"/>
      <c r="N182" s="14"/>
      <c r="O182" s="14"/>
      <c r="P182" s="1"/>
    </row>
    <row r="183" spans="1:16">
      <c r="D183" s="39"/>
    </row>
    <row r="184" spans="1:16" s="25" customFormat="1">
      <c r="A184" s="89" t="s">
        <v>95</v>
      </c>
      <c r="B184" s="22"/>
      <c r="C184" s="22"/>
      <c r="D184" s="20" t="s">
        <v>73</v>
      </c>
      <c r="E184" s="20"/>
      <c r="F184" s="12"/>
      <c r="G184" s="12"/>
      <c r="H184" s="12"/>
      <c r="I184" s="12"/>
      <c r="J184" s="12"/>
      <c r="K184" s="12"/>
      <c r="L184" s="12"/>
      <c r="M184" s="12"/>
      <c r="N184" s="12"/>
      <c r="O184" s="12"/>
      <c r="P184" s="3"/>
    </row>
    <row r="185" spans="1:16">
      <c r="D185" s="20"/>
      <c r="E185" s="21"/>
      <c r="F185" s="15" t="str">
        <f t="shared" ref="F185:O185" si="18">F$35</f>
        <v>2021</v>
      </c>
      <c r="G185" s="15" t="str">
        <f t="shared" si="18"/>
        <v>2022</v>
      </c>
      <c r="H185" s="15" t="str">
        <f t="shared" si="18"/>
        <v>2023</v>
      </c>
      <c r="I185" s="15" t="str">
        <f t="shared" si="18"/>
        <v>2024</v>
      </c>
      <c r="J185" s="15" t="str">
        <f t="shared" si="18"/>
        <v>2025</v>
      </c>
      <c r="K185" s="15" t="str">
        <f t="shared" si="18"/>
        <v>2026</v>
      </c>
      <c r="L185" s="15" t="str">
        <f t="shared" si="18"/>
        <v>2027</v>
      </c>
      <c r="M185" s="15" t="str">
        <f t="shared" si="18"/>
        <v>2028</v>
      </c>
      <c r="N185" s="15" t="str">
        <f t="shared" si="18"/>
        <v>2029</v>
      </c>
      <c r="O185" s="15" t="str">
        <f t="shared" si="18"/>
        <v>2030</v>
      </c>
    </row>
    <row r="186" spans="1:16">
      <c r="B186" s="69"/>
      <c r="C186" s="69"/>
      <c r="D186" s="63" t="s">
        <v>60</v>
      </c>
      <c r="E186" s="26"/>
      <c r="F186" s="44" t="s">
        <v>0</v>
      </c>
      <c r="G186" s="44" t="s">
        <v>0</v>
      </c>
      <c r="H186" s="44" t="s">
        <v>0</v>
      </c>
      <c r="I186" s="44" t="s">
        <v>0</v>
      </c>
      <c r="J186" s="48" t="str">
        <f>$J$54</f>
        <v>Actual</v>
      </c>
      <c r="K186" s="44" t="s">
        <v>1</v>
      </c>
      <c r="L186" s="44" t="s">
        <v>1</v>
      </c>
      <c r="M186" s="44" t="s">
        <v>1</v>
      </c>
      <c r="N186" s="44" t="s">
        <v>1</v>
      </c>
      <c r="O186" s="44" t="s">
        <v>1</v>
      </c>
      <c r="P186" s="82"/>
    </row>
    <row r="187" spans="1:16">
      <c r="N187" s="10"/>
      <c r="O187" s="10"/>
      <c r="P187" s="4"/>
    </row>
    <row r="188" spans="1:16" ht="18.75">
      <c r="D188" s="10" t="s">
        <v>86</v>
      </c>
      <c r="F188" s="13">
        <v>2019</v>
      </c>
      <c r="G188" s="13">
        <v>3205</v>
      </c>
      <c r="H188" s="13">
        <v>3135</v>
      </c>
      <c r="I188" s="13">
        <v>3197</v>
      </c>
      <c r="J188" s="13">
        <v>3272</v>
      </c>
      <c r="K188" s="13">
        <v>3246</v>
      </c>
      <c r="L188" s="13">
        <v>3295</v>
      </c>
      <c r="M188" s="13">
        <v>3238</v>
      </c>
      <c r="N188" s="10">
        <v>3145</v>
      </c>
      <c r="O188" s="10">
        <v>3147</v>
      </c>
      <c r="P188" s="4"/>
    </row>
    <row r="189" spans="1:16">
      <c r="D189" s="10" t="s">
        <v>13</v>
      </c>
      <c r="F189" s="13">
        <v>698</v>
      </c>
      <c r="G189" s="13">
        <v>755</v>
      </c>
      <c r="H189" s="13">
        <v>729</v>
      </c>
      <c r="I189" s="13">
        <v>688</v>
      </c>
      <c r="J189" s="13">
        <v>649</v>
      </c>
      <c r="K189" s="13">
        <v>638</v>
      </c>
      <c r="L189" s="13">
        <v>583</v>
      </c>
      <c r="M189" s="13">
        <v>570</v>
      </c>
      <c r="N189" s="10">
        <v>570</v>
      </c>
      <c r="O189" s="10">
        <v>570</v>
      </c>
      <c r="P189" s="4"/>
    </row>
    <row r="190" spans="1:16">
      <c r="D190" s="10" t="s">
        <v>82</v>
      </c>
      <c r="F190" s="13">
        <v>590</v>
      </c>
      <c r="G190" s="13">
        <v>556</v>
      </c>
      <c r="H190" s="13">
        <v>525</v>
      </c>
      <c r="I190" s="13">
        <v>526</v>
      </c>
      <c r="J190" s="13">
        <v>574</v>
      </c>
      <c r="K190" s="13">
        <v>647</v>
      </c>
      <c r="L190" s="13">
        <v>702</v>
      </c>
      <c r="M190" s="13">
        <v>711</v>
      </c>
      <c r="N190" s="10">
        <v>700</v>
      </c>
      <c r="O190" s="10">
        <v>685</v>
      </c>
      <c r="P190" s="4"/>
    </row>
    <row r="191" spans="1:16">
      <c r="D191" s="10" t="s">
        <v>32</v>
      </c>
      <c r="F191" s="13">
        <v>212</v>
      </c>
      <c r="G191" s="13">
        <v>288</v>
      </c>
      <c r="H191" s="13">
        <v>274</v>
      </c>
      <c r="I191" s="13">
        <v>603</v>
      </c>
      <c r="J191" s="13">
        <v>676</v>
      </c>
      <c r="K191" s="13">
        <v>790</v>
      </c>
      <c r="L191" s="13">
        <v>857</v>
      </c>
      <c r="M191" s="13">
        <v>858</v>
      </c>
      <c r="N191" s="10">
        <v>866</v>
      </c>
      <c r="O191" s="10">
        <v>885</v>
      </c>
    </row>
    <row r="192" spans="1:16" ht="16.5" thickBot="1">
      <c r="F192" s="45"/>
      <c r="G192" s="45"/>
      <c r="H192" s="45"/>
      <c r="I192" s="45"/>
      <c r="J192" s="45"/>
      <c r="K192" s="45"/>
      <c r="L192" s="45"/>
      <c r="M192" s="45"/>
      <c r="N192" s="45"/>
      <c r="O192" s="45"/>
      <c r="P192" s="12"/>
    </row>
    <row r="193" spans="1:16" s="83" customFormat="1" ht="18" customHeight="1" thickBot="1">
      <c r="A193" s="89"/>
      <c r="B193" s="88"/>
      <c r="C193" s="88"/>
      <c r="D193" s="101" t="s">
        <v>38</v>
      </c>
      <c r="E193" s="101"/>
      <c r="F193" s="86">
        <f>SUM(F188:F192)</f>
        <v>3519</v>
      </c>
      <c r="G193" s="86">
        <f t="shared" ref="G193:H193" si="19">SUM(G188:G192)</f>
        <v>4804</v>
      </c>
      <c r="H193" s="86">
        <f t="shared" si="19"/>
        <v>4663</v>
      </c>
      <c r="I193" s="86">
        <f t="shared" ref="I193" si="20">SUM(I188:I192)</f>
        <v>5014</v>
      </c>
      <c r="J193" s="86">
        <f t="shared" ref="J193" si="21">SUM(J188:J192)</f>
        <v>5171</v>
      </c>
      <c r="K193" s="86">
        <f t="shared" ref="K193" si="22">SUM(K188:K192)</f>
        <v>5321</v>
      </c>
      <c r="L193" s="86">
        <f t="shared" ref="L193" si="23">SUM(L188:L192)</f>
        <v>5437</v>
      </c>
      <c r="M193" s="86">
        <f t="shared" ref="M193" si="24">SUM(M188:M192)</f>
        <v>5377</v>
      </c>
      <c r="N193" s="86">
        <f t="shared" ref="N193:O193" si="25">SUM(N188:N192)</f>
        <v>5281</v>
      </c>
      <c r="O193" s="86">
        <f t="shared" si="25"/>
        <v>5287</v>
      </c>
      <c r="P193" s="9"/>
    </row>
    <row r="194" spans="1:16">
      <c r="D194" s="63"/>
      <c r="E194" s="63"/>
      <c r="F194" s="16"/>
      <c r="G194" s="16"/>
      <c r="H194" s="16"/>
      <c r="I194" s="16"/>
      <c r="J194" s="16"/>
      <c r="K194" s="16"/>
      <c r="L194" s="16"/>
      <c r="M194" s="16"/>
      <c r="N194" s="16"/>
      <c r="O194" s="16"/>
      <c r="P194" s="5"/>
    </row>
    <row r="195" spans="1:16">
      <c r="D195" s="10" t="s">
        <v>212</v>
      </c>
      <c r="E195" s="56"/>
      <c r="F195" s="56"/>
      <c r="G195" s="56"/>
      <c r="H195" s="56"/>
      <c r="I195" s="56"/>
      <c r="J195" s="56"/>
      <c r="K195" s="56"/>
      <c r="L195" s="56"/>
      <c r="M195" s="56"/>
      <c r="N195" s="56"/>
      <c r="O195" s="56"/>
    </row>
    <row r="196" spans="1:16">
      <c r="D196" s="24" t="s">
        <v>213</v>
      </c>
    </row>
    <row r="197" spans="1:16">
      <c r="D197" s="64"/>
      <c r="E197" s="64"/>
      <c r="F197" s="64"/>
      <c r="G197" s="64"/>
      <c r="H197" s="64"/>
      <c r="I197" s="64"/>
      <c r="J197" s="64"/>
      <c r="K197" s="64"/>
      <c r="L197" s="64"/>
      <c r="M197" s="64"/>
      <c r="N197" s="64"/>
      <c r="O197" s="64"/>
      <c r="P197" s="5"/>
    </row>
    <row r="198" spans="1:16" ht="18">
      <c r="D198" s="66" t="s">
        <v>229</v>
      </c>
      <c r="E198" s="63"/>
      <c r="F198" s="16"/>
      <c r="G198" s="16"/>
      <c r="H198" s="16"/>
      <c r="I198" s="16"/>
      <c r="J198" s="16"/>
      <c r="K198" s="16"/>
      <c r="L198" s="16"/>
      <c r="M198" s="16"/>
      <c r="N198" s="16"/>
      <c r="O198" s="16"/>
      <c r="P198" s="5"/>
    </row>
    <row r="199" spans="1:16">
      <c r="F199" s="15" t="str">
        <f t="shared" ref="F199:O199" si="26">F$35</f>
        <v>2021</v>
      </c>
      <c r="G199" s="15" t="str">
        <f t="shared" si="26"/>
        <v>2022</v>
      </c>
      <c r="H199" s="15" t="str">
        <f t="shared" si="26"/>
        <v>2023</v>
      </c>
      <c r="I199" s="15" t="str">
        <f>I$35</f>
        <v>2024</v>
      </c>
      <c r="J199" s="15" t="str">
        <f t="shared" si="26"/>
        <v>2025</v>
      </c>
      <c r="K199" s="15" t="str">
        <f t="shared" si="26"/>
        <v>2026</v>
      </c>
      <c r="L199" s="15" t="str">
        <f t="shared" si="26"/>
        <v>2027</v>
      </c>
      <c r="M199" s="15" t="str">
        <f t="shared" si="26"/>
        <v>2028</v>
      </c>
      <c r="N199" s="15" t="str">
        <f t="shared" si="26"/>
        <v>2029</v>
      </c>
      <c r="O199" s="15" t="str">
        <f t="shared" si="26"/>
        <v>2030</v>
      </c>
      <c r="P199" s="4"/>
    </row>
    <row r="200" spans="1:16" ht="18.75">
      <c r="B200" s="69"/>
      <c r="C200" s="69"/>
      <c r="D200" s="63" t="s">
        <v>70</v>
      </c>
      <c r="E200" s="63"/>
      <c r="F200" s="44" t="s">
        <v>0</v>
      </c>
      <c r="G200" s="44" t="s">
        <v>0</v>
      </c>
      <c r="H200" s="44" t="s">
        <v>0</v>
      </c>
      <c r="I200" s="44" t="s">
        <v>0</v>
      </c>
      <c r="J200" s="48" t="str">
        <f>$J$54</f>
        <v>Actual</v>
      </c>
      <c r="K200" s="44" t="s">
        <v>1</v>
      </c>
      <c r="L200" s="44" t="s">
        <v>1</v>
      </c>
      <c r="M200" s="44" t="s">
        <v>1</v>
      </c>
      <c r="N200" s="44" t="s">
        <v>1</v>
      </c>
      <c r="O200" s="44" t="s">
        <v>1</v>
      </c>
      <c r="P200" s="70"/>
    </row>
    <row r="201" spans="1:16">
      <c r="D201" s="20"/>
      <c r="E201" s="20"/>
      <c r="F201" s="19"/>
      <c r="G201" s="19"/>
      <c r="H201" s="19"/>
      <c r="I201" s="19"/>
      <c r="J201" s="19"/>
      <c r="K201" s="19"/>
      <c r="L201" s="19"/>
      <c r="M201" s="19"/>
      <c r="N201" s="10"/>
      <c r="O201" s="10"/>
    </row>
    <row r="202" spans="1:16">
      <c r="D202" s="10" t="s">
        <v>74</v>
      </c>
      <c r="E202" s="54"/>
      <c r="F202" s="23">
        <v>234350</v>
      </c>
      <c r="G202" s="12">
        <v>219862</v>
      </c>
      <c r="H202" s="12">
        <v>265152</v>
      </c>
      <c r="I202" s="12">
        <v>261283</v>
      </c>
      <c r="J202" s="12">
        <v>262884</v>
      </c>
      <c r="K202" s="12">
        <v>262500</v>
      </c>
      <c r="L202" s="12">
        <v>255400</v>
      </c>
      <c r="M202" s="12">
        <v>254600</v>
      </c>
      <c r="N202" s="12">
        <v>253400</v>
      </c>
      <c r="O202" s="12">
        <v>252900</v>
      </c>
    </row>
    <row r="204" spans="1:16">
      <c r="D204" s="10" t="s">
        <v>111</v>
      </c>
      <c r="E204" s="56"/>
      <c r="F204" s="56"/>
      <c r="G204" s="56"/>
      <c r="H204" s="56"/>
      <c r="I204" s="56"/>
      <c r="J204" s="56"/>
      <c r="K204" s="56"/>
      <c r="L204" s="56"/>
      <c r="M204" s="56"/>
      <c r="N204" s="56"/>
      <c r="O204" s="56"/>
    </row>
    <row r="205" spans="1:16">
      <c r="D205" s="24" t="s">
        <v>139</v>
      </c>
    </row>
    <row r="206" spans="1:16">
      <c r="D206" s="24" t="s">
        <v>144</v>
      </c>
    </row>
    <row r="207" spans="1:16" s="21" customFormat="1">
      <c r="A207" s="89"/>
      <c r="B207" s="22"/>
      <c r="C207" s="22"/>
      <c r="D207" s="24" t="s">
        <v>140</v>
      </c>
      <c r="E207" s="10"/>
      <c r="F207" s="12"/>
      <c r="G207" s="12"/>
      <c r="H207" s="12"/>
      <c r="I207" s="12"/>
      <c r="J207" s="12"/>
      <c r="K207" s="12"/>
      <c r="L207" s="12"/>
      <c r="M207" s="12"/>
      <c r="N207" s="12"/>
      <c r="O207" s="12"/>
      <c r="P207" s="1"/>
    </row>
    <row r="208" spans="1:16" s="21" customFormat="1">
      <c r="A208" s="89"/>
      <c r="B208" s="22"/>
      <c r="C208" s="22"/>
      <c r="D208" s="10"/>
      <c r="E208" s="10"/>
      <c r="F208" s="12"/>
      <c r="G208" s="12"/>
      <c r="H208" s="12"/>
      <c r="I208" s="12"/>
      <c r="J208" s="12"/>
      <c r="K208" s="12"/>
      <c r="L208" s="12"/>
      <c r="M208" s="12"/>
      <c r="N208" s="12"/>
      <c r="O208" s="12"/>
      <c r="P208" s="6"/>
    </row>
    <row r="209" spans="1:16" s="21" customFormat="1" ht="18">
      <c r="A209" s="89"/>
      <c r="B209" s="22"/>
      <c r="C209" s="22"/>
      <c r="D209" s="66" t="s">
        <v>233</v>
      </c>
      <c r="E209" s="10"/>
      <c r="F209" s="14"/>
      <c r="G209" s="14"/>
      <c r="H209" s="14"/>
      <c r="I209" s="14" t="s">
        <v>46</v>
      </c>
      <c r="J209" s="14"/>
      <c r="K209" s="14"/>
      <c r="L209" s="14"/>
      <c r="M209" s="14"/>
      <c r="N209" s="14"/>
      <c r="O209" s="14"/>
      <c r="P209" s="2"/>
    </row>
    <row r="210" spans="1:16">
      <c r="F210" s="14"/>
      <c r="G210" s="14"/>
      <c r="H210" s="14"/>
      <c r="I210" s="14"/>
      <c r="J210" s="14"/>
      <c r="K210" s="14"/>
      <c r="L210" s="14"/>
      <c r="M210" s="14"/>
      <c r="N210" s="14"/>
      <c r="O210" s="14"/>
      <c r="P210" s="2"/>
    </row>
    <row r="211" spans="1:16" s="25" customFormat="1">
      <c r="A211" s="89" t="s">
        <v>96</v>
      </c>
      <c r="B211" s="22"/>
      <c r="C211" s="22"/>
      <c r="D211" s="20" t="s">
        <v>58</v>
      </c>
      <c r="E211" s="20"/>
      <c r="F211" s="12"/>
      <c r="G211" s="12"/>
      <c r="H211" s="12"/>
      <c r="I211" s="12"/>
      <c r="J211" s="12"/>
      <c r="K211" s="12"/>
      <c r="L211" s="12"/>
      <c r="M211" s="12"/>
      <c r="N211" s="12"/>
      <c r="O211" s="12"/>
      <c r="P211" s="3"/>
    </row>
    <row r="212" spans="1:16">
      <c r="D212" s="20"/>
      <c r="E212" s="21"/>
      <c r="F212" s="15" t="str">
        <f t="shared" ref="F212:O212" si="27">F$35</f>
        <v>2021</v>
      </c>
      <c r="G212" s="15" t="str">
        <f t="shared" si="27"/>
        <v>2022</v>
      </c>
      <c r="H212" s="15" t="str">
        <f t="shared" si="27"/>
        <v>2023</v>
      </c>
      <c r="I212" s="15" t="str">
        <f t="shared" si="27"/>
        <v>2024</v>
      </c>
      <c r="J212" s="15" t="str">
        <f t="shared" si="27"/>
        <v>2025</v>
      </c>
      <c r="K212" s="15" t="str">
        <f t="shared" si="27"/>
        <v>2026</v>
      </c>
      <c r="L212" s="15" t="str">
        <f t="shared" si="27"/>
        <v>2027</v>
      </c>
      <c r="M212" s="15" t="str">
        <f t="shared" si="27"/>
        <v>2028</v>
      </c>
      <c r="N212" s="15" t="str">
        <f t="shared" si="27"/>
        <v>2029</v>
      </c>
      <c r="O212" s="15" t="str">
        <f t="shared" si="27"/>
        <v>2030</v>
      </c>
    </row>
    <row r="213" spans="1:16">
      <c r="B213" s="69"/>
      <c r="C213" s="69"/>
      <c r="D213" s="63" t="s">
        <v>60</v>
      </c>
      <c r="E213" s="26"/>
      <c r="F213" s="44" t="s">
        <v>0</v>
      </c>
      <c r="G213" s="44" t="s">
        <v>0</v>
      </c>
      <c r="H213" s="44" t="s">
        <v>0</v>
      </c>
      <c r="I213" s="44" t="s">
        <v>0</v>
      </c>
      <c r="J213" s="48" t="str">
        <f>$J$54</f>
        <v>Actual</v>
      </c>
      <c r="K213" s="44" t="s">
        <v>1</v>
      </c>
      <c r="L213" s="44" t="s">
        <v>1</v>
      </c>
      <c r="M213" s="44" t="s">
        <v>1</v>
      </c>
      <c r="N213" s="44" t="s">
        <v>1</v>
      </c>
      <c r="O213" s="44" t="s">
        <v>1</v>
      </c>
      <c r="P213" s="82"/>
    </row>
    <row r="214" spans="1:16">
      <c r="N214" s="10"/>
      <c r="O214" s="10"/>
      <c r="P214" s="4"/>
    </row>
    <row r="215" spans="1:16">
      <c r="D215" s="10" t="s">
        <v>2</v>
      </c>
      <c r="F215" s="13">
        <v>2271</v>
      </c>
      <c r="G215" s="13">
        <v>2477</v>
      </c>
      <c r="H215" s="13">
        <v>2736</v>
      </c>
      <c r="I215" s="13">
        <v>2733</v>
      </c>
      <c r="J215" s="13">
        <v>2652</v>
      </c>
      <c r="K215" s="13">
        <v>2815</v>
      </c>
      <c r="L215" s="13">
        <v>2874</v>
      </c>
      <c r="M215" s="13">
        <v>2893</v>
      </c>
      <c r="N215" s="13">
        <v>2860</v>
      </c>
      <c r="O215" s="13">
        <v>2810</v>
      </c>
      <c r="P215" s="4"/>
    </row>
    <row r="216" spans="1:16">
      <c r="D216" s="10" t="s">
        <v>163</v>
      </c>
      <c r="F216" s="13">
        <v>804</v>
      </c>
      <c r="G216" s="13">
        <v>827</v>
      </c>
      <c r="H216" s="13">
        <v>971</v>
      </c>
      <c r="I216" s="13">
        <v>1202</v>
      </c>
      <c r="J216" s="13">
        <v>953</v>
      </c>
      <c r="K216" s="13">
        <v>996</v>
      </c>
      <c r="L216" s="13">
        <v>1111</v>
      </c>
      <c r="M216" s="13">
        <v>982</v>
      </c>
      <c r="N216" s="13">
        <v>982</v>
      </c>
      <c r="O216" s="13">
        <v>982</v>
      </c>
      <c r="P216" s="4"/>
    </row>
    <row r="217" spans="1:16">
      <c r="D217" s="10" t="s">
        <v>52</v>
      </c>
      <c r="F217" s="13">
        <v>882</v>
      </c>
      <c r="G217" s="13">
        <v>662</v>
      </c>
      <c r="H217" s="13">
        <v>1453</v>
      </c>
      <c r="I217" s="13">
        <v>2393</v>
      </c>
      <c r="J217" s="13">
        <v>1872</v>
      </c>
      <c r="K217" s="13">
        <v>1550</v>
      </c>
      <c r="L217" s="13">
        <v>1375</v>
      </c>
      <c r="M217" s="13">
        <v>1385</v>
      </c>
      <c r="N217" s="13">
        <v>1330</v>
      </c>
      <c r="O217" s="13">
        <v>1305</v>
      </c>
      <c r="P217" s="4"/>
    </row>
    <row r="218" spans="1:16" ht="18.75">
      <c r="D218" s="10" t="s">
        <v>197</v>
      </c>
      <c r="F218" s="13">
        <v>905</v>
      </c>
      <c r="G218" s="13">
        <v>928</v>
      </c>
      <c r="H218" s="13">
        <v>703</v>
      </c>
      <c r="I218" s="13">
        <v>401</v>
      </c>
      <c r="J218" s="13">
        <v>513</v>
      </c>
      <c r="K218" s="13">
        <v>470</v>
      </c>
      <c r="L218" s="13">
        <v>544</v>
      </c>
      <c r="M218" s="13">
        <v>531</v>
      </c>
      <c r="N218" s="13">
        <v>612</v>
      </c>
      <c r="O218" s="13">
        <v>726</v>
      </c>
      <c r="P218" s="4"/>
    </row>
    <row r="219" spans="1:16">
      <c r="D219" s="10" t="s">
        <v>195</v>
      </c>
      <c r="F219" s="13">
        <v>0</v>
      </c>
      <c r="G219" s="13">
        <v>0</v>
      </c>
      <c r="H219" s="13">
        <v>0</v>
      </c>
      <c r="I219" s="13">
        <v>794</v>
      </c>
      <c r="J219" s="13">
        <v>960</v>
      </c>
      <c r="K219" s="13">
        <v>101</v>
      </c>
      <c r="L219" s="13">
        <v>2</v>
      </c>
      <c r="M219" s="13">
        <v>1</v>
      </c>
      <c r="N219" s="13">
        <v>0</v>
      </c>
      <c r="O219" s="13">
        <v>0</v>
      </c>
      <c r="P219" s="4"/>
    </row>
    <row r="220" spans="1:16">
      <c r="D220" s="10" t="s">
        <v>14</v>
      </c>
      <c r="F220" s="13">
        <v>121</v>
      </c>
      <c r="G220" s="13">
        <v>114</v>
      </c>
      <c r="H220" s="13">
        <v>128</v>
      </c>
      <c r="I220" s="13">
        <v>115</v>
      </c>
      <c r="J220" s="13">
        <v>119</v>
      </c>
      <c r="K220" s="13">
        <v>127</v>
      </c>
      <c r="L220" s="13">
        <v>83</v>
      </c>
      <c r="M220" s="13">
        <v>79</v>
      </c>
      <c r="N220" s="13">
        <v>65</v>
      </c>
      <c r="O220" s="13">
        <v>65</v>
      </c>
    </row>
    <row r="221" spans="1:16">
      <c r="D221" s="10" t="s">
        <v>141</v>
      </c>
      <c r="F221" s="13">
        <v>6</v>
      </c>
      <c r="G221" s="13">
        <v>3</v>
      </c>
      <c r="H221" s="13">
        <v>24</v>
      </c>
      <c r="I221" s="13">
        <v>38</v>
      </c>
      <c r="J221" s="13">
        <v>34</v>
      </c>
      <c r="K221" s="13">
        <v>25</v>
      </c>
      <c r="L221" s="13">
        <v>24</v>
      </c>
      <c r="M221" s="13">
        <v>23</v>
      </c>
      <c r="N221" s="13">
        <v>23</v>
      </c>
      <c r="O221" s="13">
        <v>23</v>
      </c>
      <c r="P221" s="4"/>
    </row>
    <row r="222" spans="1:16">
      <c r="D222" s="10" t="s">
        <v>112</v>
      </c>
      <c r="F222" s="13">
        <v>45</v>
      </c>
      <c r="G222" s="13">
        <v>0</v>
      </c>
      <c r="H222" s="13">
        <v>0</v>
      </c>
      <c r="I222" s="13">
        <v>0</v>
      </c>
      <c r="J222" s="13">
        <v>0</v>
      </c>
      <c r="K222" s="13">
        <v>0</v>
      </c>
      <c r="L222" s="13">
        <v>0</v>
      </c>
      <c r="M222" s="13">
        <v>0</v>
      </c>
      <c r="N222" s="13">
        <v>0</v>
      </c>
      <c r="O222" s="13">
        <v>0</v>
      </c>
    </row>
    <row r="223" spans="1:16">
      <c r="D223" s="10" t="s">
        <v>128</v>
      </c>
      <c r="F223" s="13">
        <v>137</v>
      </c>
      <c r="G223" s="13">
        <v>0</v>
      </c>
      <c r="H223" s="13">
        <v>3</v>
      </c>
      <c r="I223" s="13">
        <v>14</v>
      </c>
      <c r="J223" s="13">
        <v>11</v>
      </c>
      <c r="K223" s="13">
        <v>0</v>
      </c>
      <c r="L223" s="13">
        <v>0</v>
      </c>
      <c r="M223" s="13">
        <v>0</v>
      </c>
      <c r="N223" s="13">
        <v>0</v>
      </c>
      <c r="O223" s="13">
        <v>0</v>
      </c>
    </row>
    <row r="224" spans="1:16" s="47" customFormat="1" ht="18.75">
      <c r="A224" s="89"/>
      <c r="B224" s="22"/>
      <c r="C224" s="22"/>
      <c r="D224" s="10" t="s">
        <v>161</v>
      </c>
      <c r="E224" s="10"/>
      <c r="F224" s="13">
        <v>583</v>
      </c>
      <c r="G224" s="13">
        <v>709</v>
      </c>
      <c r="H224" s="13">
        <v>788</v>
      </c>
      <c r="I224" s="13">
        <v>778</v>
      </c>
      <c r="J224" s="13">
        <v>794</v>
      </c>
      <c r="K224" s="13">
        <v>513</v>
      </c>
      <c r="L224" s="13">
        <v>619</v>
      </c>
      <c r="M224" s="13">
        <v>445</v>
      </c>
      <c r="N224" s="13">
        <v>423</v>
      </c>
      <c r="O224" s="13">
        <v>393</v>
      </c>
      <c r="P224" s="1"/>
    </row>
    <row r="225" spans="1:16" s="47" customFormat="1" ht="16.5" thickBot="1">
      <c r="A225" s="89"/>
      <c r="B225" s="22"/>
      <c r="C225" s="22"/>
      <c r="D225" s="10"/>
      <c r="E225" s="10"/>
      <c r="F225" s="45"/>
      <c r="G225" s="45"/>
      <c r="H225" s="45"/>
      <c r="I225" s="45"/>
      <c r="J225" s="45"/>
      <c r="K225" s="45"/>
      <c r="L225" s="45"/>
      <c r="M225" s="45"/>
      <c r="N225" s="45"/>
      <c r="O225" s="45"/>
      <c r="P225" s="5"/>
    </row>
    <row r="226" spans="1:16" s="83" customFormat="1" ht="18" customHeight="1" thickBot="1">
      <c r="A226" s="89"/>
      <c r="B226" s="88"/>
      <c r="C226" s="88"/>
      <c r="D226" s="101" t="s">
        <v>58</v>
      </c>
      <c r="E226" s="101"/>
      <c r="F226" s="86">
        <f t="shared" ref="F226:O226" si="28">SUM(F215:F225)</f>
        <v>5754</v>
      </c>
      <c r="G226" s="86">
        <f t="shared" si="28"/>
        <v>5720</v>
      </c>
      <c r="H226" s="86">
        <f t="shared" si="28"/>
        <v>6806</v>
      </c>
      <c r="I226" s="86">
        <f t="shared" si="28"/>
        <v>8468</v>
      </c>
      <c r="J226" s="86">
        <f t="shared" si="28"/>
        <v>7908</v>
      </c>
      <c r="K226" s="86">
        <f t="shared" si="28"/>
        <v>6597</v>
      </c>
      <c r="L226" s="86">
        <f t="shared" si="28"/>
        <v>6632</v>
      </c>
      <c r="M226" s="86">
        <f t="shared" si="28"/>
        <v>6339</v>
      </c>
      <c r="N226" s="86">
        <f t="shared" ref="N226" si="29">SUM(N215:N225)</f>
        <v>6295</v>
      </c>
      <c r="O226" s="86">
        <f t="shared" si="28"/>
        <v>6304</v>
      </c>
      <c r="P226" s="9">
        <v>4829</v>
      </c>
    </row>
    <row r="227" spans="1:16">
      <c r="D227" s="20" t="s">
        <v>46</v>
      </c>
      <c r="E227" s="21"/>
      <c r="F227" s="14"/>
      <c r="G227" s="14"/>
      <c r="H227" s="14"/>
      <c r="I227" s="14"/>
      <c r="J227" s="14"/>
      <c r="K227" s="14"/>
      <c r="L227" s="14"/>
      <c r="M227" s="14"/>
      <c r="N227" s="14"/>
      <c r="O227" s="14"/>
      <c r="P227" s="6"/>
    </row>
    <row r="228" spans="1:16">
      <c r="D228" s="10" t="s">
        <v>162</v>
      </c>
      <c r="E228" s="25"/>
      <c r="F228" s="25"/>
      <c r="G228" s="25"/>
      <c r="H228" s="25"/>
      <c r="I228" s="25"/>
      <c r="J228" s="25"/>
      <c r="K228" s="46"/>
      <c r="L228" s="46"/>
      <c r="M228" s="46"/>
      <c r="N228" s="46"/>
      <c r="O228" s="46"/>
      <c r="P228" s="46"/>
    </row>
    <row r="229" spans="1:16">
      <c r="D229" s="10" t="s">
        <v>214</v>
      </c>
    </row>
    <row r="230" spans="1:16">
      <c r="E230" s="25"/>
      <c r="F230" s="25"/>
      <c r="G230" s="25"/>
      <c r="H230" s="25"/>
      <c r="I230" s="25"/>
      <c r="J230" s="25"/>
      <c r="K230" s="46"/>
      <c r="L230" s="46"/>
      <c r="M230" s="46"/>
      <c r="N230" s="46"/>
      <c r="O230" s="46"/>
      <c r="P230" s="46"/>
    </row>
    <row r="231" spans="1:16" ht="18">
      <c r="D231" s="66" t="s">
        <v>229</v>
      </c>
      <c r="E231" s="20"/>
      <c r="F231" s="25"/>
      <c r="G231" s="25"/>
      <c r="H231" s="25"/>
      <c r="I231" s="13"/>
      <c r="J231" s="13"/>
      <c r="K231" s="13"/>
      <c r="L231" s="13"/>
      <c r="M231" s="13"/>
      <c r="N231" s="10"/>
      <c r="O231" s="10"/>
      <c r="P231" s="25"/>
    </row>
    <row r="232" spans="1:16" s="25" customFormat="1">
      <c r="A232" s="89"/>
      <c r="B232" s="22"/>
      <c r="C232" s="22"/>
      <c r="E232" s="46"/>
      <c r="F232" s="46"/>
      <c r="G232" s="46"/>
      <c r="H232" s="46"/>
      <c r="I232" s="46"/>
      <c r="J232" s="46"/>
      <c r="K232" s="46"/>
      <c r="L232" s="46"/>
      <c r="M232" s="46"/>
      <c r="N232" s="46"/>
      <c r="O232" s="46"/>
      <c r="P232" s="2"/>
    </row>
    <row r="233" spans="1:16">
      <c r="A233" s="89" t="s">
        <v>97</v>
      </c>
      <c r="D233" s="20" t="s">
        <v>39</v>
      </c>
      <c r="E233" s="20"/>
      <c r="P233" s="3"/>
    </row>
    <row r="234" spans="1:16">
      <c r="D234" s="20" t="s">
        <v>46</v>
      </c>
      <c r="E234" s="21"/>
      <c r="F234" s="15" t="str">
        <f t="shared" ref="F234:O234" si="30">F$35</f>
        <v>2021</v>
      </c>
      <c r="G234" s="15" t="str">
        <f t="shared" si="30"/>
        <v>2022</v>
      </c>
      <c r="H234" s="15" t="str">
        <f t="shared" si="30"/>
        <v>2023</v>
      </c>
      <c r="I234" s="15" t="str">
        <f t="shared" si="30"/>
        <v>2024</v>
      </c>
      <c r="J234" s="15" t="str">
        <f t="shared" si="30"/>
        <v>2025</v>
      </c>
      <c r="K234" s="15" t="str">
        <f t="shared" si="30"/>
        <v>2026</v>
      </c>
      <c r="L234" s="15" t="str">
        <f t="shared" si="30"/>
        <v>2027</v>
      </c>
      <c r="M234" s="15" t="str">
        <f t="shared" si="30"/>
        <v>2028</v>
      </c>
      <c r="N234" s="15" t="str">
        <f t="shared" si="30"/>
        <v>2029</v>
      </c>
      <c r="O234" s="15" t="str">
        <f t="shared" si="30"/>
        <v>2030</v>
      </c>
    </row>
    <row r="235" spans="1:16">
      <c r="B235" s="69"/>
      <c r="C235" s="69"/>
      <c r="D235" s="63" t="s">
        <v>60</v>
      </c>
      <c r="E235" s="26"/>
      <c r="F235" s="44" t="s">
        <v>0</v>
      </c>
      <c r="G235" s="44" t="s">
        <v>0</v>
      </c>
      <c r="H235" s="44" t="s">
        <v>0</v>
      </c>
      <c r="I235" s="44" t="s">
        <v>0</v>
      </c>
      <c r="J235" s="48" t="str">
        <f>$J$54</f>
        <v>Actual</v>
      </c>
      <c r="K235" s="44" t="s">
        <v>1</v>
      </c>
      <c r="L235" s="44" t="s">
        <v>1</v>
      </c>
      <c r="M235" s="44" t="s">
        <v>1</v>
      </c>
      <c r="N235" s="44" t="s">
        <v>1</v>
      </c>
      <c r="O235" s="44" t="s">
        <v>1</v>
      </c>
      <c r="P235" s="82"/>
    </row>
    <row r="236" spans="1:16">
      <c r="N236" s="10"/>
      <c r="O236" s="10"/>
      <c r="P236" s="4"/>
    </row>
    <row r="237" spans="1:16" ht="17.649999999999999" customHeight="1">
      <c r="D237" s="10" t="s">
        <v>15</v>
      </c>
      <c r="F237" s="13">
        <v>2079</v>
      </c>
      <c r="G237" s="13">
        <v>2206</v>
      </c>
      <c r="H237" s="13">
        <v>2476</v>
      </c>
      <c r="I237" s="13">
        <v>2630</v>
      </c>
      <c r="J237" s="13">
        <v>2716</v>
      </c>
      <c r="K237" s="13">
        <v>2890</v>
      </c>
      <c r="L237" s="13">
        <v>2845</v>
      </c>
      <c r="M237" s="13">
        <v>2662</v>
      </c>
      <c r="N237" s="13">
        <v>2602</v>
      </c>
      <c r="O237" s="13">
        <v>2602</v>
      </c>
      <c r="P237" s="4"/>
    </row>
    <row r="238" spans="1:16">
      <c r="D238" s="10" t="s">
        <v>17</v>
      </c>
      <c r="F238" s="13">
        <v>1641</v>
      </c>
      <c r="G238" s="13">
        <v>1645</v>
      </c>
      <c r="H238" s="13">
        <v>1798</v>
      </c>
      <c r="I238" s="13">
        <v>1952</v>
      </c>
      <c r="J238" s="13">
        <v>2077</v>
      </c>
      <c r="K238" s="13">
        <v>2283</v>
      </c>
      <c r="L238" s="13">
        <v>2387</v>
      </c>
      <c r="M238" s="13">
        <v>2412</v>
      </c>
      <c r="N238" s="13">
        <v>2434</v>
      </c>
      <c r="O238" s="13">
        <v>2417</v>
      </c>
      <c r="P238" s="4"/>
    </row>
    <row r="239" spans="1:16">
      <c r="D239" s="10" t="s">
        <v>16</v>
      </c>
      <c r="F239" s="13">
        <v>642</v>
      </c>
      <c r="G239" s="13">
        <v>704</v>
      </c>
      <c r="H239" s="13">
        <v>748</v>
      </c>
      <c r="I239" s="13">
        <v>814</v>
      </c>
      <c r="J239" s="13">
        <v>821</v>
      </c>
      <c r="K239" s="13">
        <v>873</v>
      </c>
      <c r="L239" s="13">
        <v>900</v>
      </c>
      <c r="M239" s="13">
        <v>884</v>
      </c>
      <c r="N239" s="13">
        <v>862</v>
      </c>
      <c r="O239" s="13">
        <v>863</v>
      </c>
      <c r="P239" s="4"/>
    </row>
    <row r="240" spans="1:16" ht="18.75">
      <c r="D240" s="10" t="s">
        <v>176</v>
      </c>
      <c r="F240" s="13">
        <v>182</v>
      </c>
      <c r="G240" s="13">
        <v>200</v>
      </c>
      <c r="H240" s="13">
        <v>190</v>
      </c>
      <c r="I240" s="13">
        <v>197</v>
      </c>
      <c r="J240" s="13">
        <v>224</v>
      </c>
      <c r="K240" s="13">
        <v>251</v>
      </c>
      <c r="L240" s="13">
        <v>273</v>
      </c>
      <c r="M240" s="13">
        <v>289</v>
      </c>
      <c r="N240" s="13">
        <v>293</v>
      </c>
      <c r="O240" s="13">
        <v>293</v>
      </c>
      <c r="P240" s="4"/>
    </row>
    <row r="241" spans="1:16" ht="18.75">
      <c r="D241" s="10" t="s">
        <v>177</v>
      </c>
      <c r="F241" s="13">
        <v>178</v>
      </c>
      <c r="G241" s="13">
        <v>152</v>
      </c>
      <c r="H241" s="13">
        <v>231</v>
      </c>
      <c r="I241" s="13">
        <v>235</v>
      </c>
      <c r="J241" s="13">
        <v>200</v>
      </c>
      <c r="K241" s="13">
        <v>208</v>
      </c>
      <c r="L241" s="13">
        <v>242</v>
      </c>
      <c r="M241" s="13">
        <v>226</v>
      </c>
      <c r="N241" s="13">
        <v>226</v>
      </c>
      <c r="O241" s="13">
        <v>227</v>
      </c>
      <c r="P241" s="5"/>
    </row>
    <row r="242" spans="1:16">
      <c r="F242" s="10"/>
      <c r="G242" s="10"/>
      <c r="H242" s="10"/>
      <c r="I242" s="10"/>
      <c r="J242" s="10"/>
      <c r="K242" s="10"/>
      <c r="L242" s="10"/>
      <c r="M242" s="10"/>
      <c r="N242" s="10"/>
      <c r="O242" s="10"/>
      <c r="P242" s="10" t="s">
        <v>46</v>
      </c>
    </row>
    <row r="243" spans="1:16" s="83" customFormat="1" ht="18" customHeight="1" thickBot="1">
      <c r="A243" s="89"/>
      <c r="B243" s="88"/>
      <c r="C243" s="88"/>
      <c r="D243" s="101" t="s">
        <v>2</v>
      </c>
      <c r="E243" s="101"/>
      <c r="F243" s="86">
        <f t="shared" ref="F243:G243" si="31">SUM(F237:F241)</f>
        <v>4722</v>
      </c>
      <c r="G243" s="86">
        <f t="shared" si="31"/>
        <v>4907</v>
      </c>
      <c r="H243" s="86">
        <f>SUM(H237:H241)</f>
        <v>5443</v>
      </c>
      <c r="I243" s="86">
        <f>SUM(I237:I241)</f>
        <v>5828</v>
      </c>
      <c r="J243" s="86">
        <f t="shared" ref="J243:O243" si="32">SUM(J237:J241)</f>
        <v>6038</v>
      </c>
      <c r="K243" s="86">
        <f t="shared" si="32"/>
        <v>6505</v>
      </c>
      <c r="L243" s="86">
        <f t="shared" si="32"/>
        <v>6647</v>
      </c>
      <c r="M243" s="86">
        <f t="shared" si="32"/>
        <v>6473</v>
      </c>
      <c r="N243" s="86">
        <f t="shared" ref="N243" si="33">SUM(N237:N241)</f>
        <v>6417</v>
      </c>
      <c r="O243" s="86">
        <f t="shared" si="32"/>
        <v>6402</v>
      </c>
      <c r="P243" s="9"/>
    </row>
    <row r="244" spans="1:16">
      <c r="N244" s="10"/>
      <c r="O244" s="10"/>
      <c r="P244" s="4"/>
    </row>
    <row r="245" spans="1:16">
      <c r="D245" s="10" t="s">
        <v>18</v>
      </c>
      <c r="F245" s="13">
        <v>477</v>
      </c>
      <c r="G245" s="13">
        <v>537</v>
      </c>
      <c r="H245" s="13">
        <v>712</v>
      </c>
      <c r="I245" s="13">
        <v>646</v>
      </c>
      <c r="J245" s="13">
        <v>658</v>
      </c>
      <c r="K245" s="13">
        <v>721</v>
      </c>
      <c r="L245" s="13">
        <v>743</v>
      </c>
      <c r="M245" s="13">
        <v>693</v>
      </c>
      <c r="N245" s="13">
        <v>686</v>
      </c>
      <c r="O245" s="13">
        <v>684</v>
      </c>
    </row>
    <row r="246" spans="1:16">
      <c r="D246" s="10" t="s">
        <v>8</v>
      </c>
      <c r="F246" s="13">
        <v>3</v>
      </c>
      <c r="G246" s="13">
        <v>0</v>
      </c>
      <c r="H246" s="13">
        <v>10</v>
      </c>
      <c r="I246" s="13">
        <v>53</v>
      </c>
      <c r="J246" s="13">
        <v>38</v>
      </c>
      <c r="K246" s="13">
        <v>56</v>
      </c>
      <c r="L246" s="13">
        <v>231</v>
      </c>
      <c r="M246" s="13">
        <v>264</v>
      </c>
      <c r="N246" s="13">
        <v>180</v>
      </c>
      <c r="O246" s="13">
        <v>189</v>
      </c>
      <c r="P246" s="5"/>
    </row>
    <row r="247" spans="1:16" ht="16.5" thickBot="1">
      <c r="F247" s="45"/>
      <c r="G247" s="45"/>
      <c r="H247" s="45"/>
      <c r="I247" s="45"/>
      <c r="J247" s="45"/>
      <c r="K247" s="45"/>
      <c r="L247" s="45"/>
      <c r="M247" s="45"/>
      <c r="N247" s="45"/>
      <c r="O247" s="45"/>
    </row>
    <row r="248" spans="1:16" s="83" customFormat="1" ht="18" customHeight="1" thickBot="1">
      <c r="A248" s="89"/>
      <c r="B248" s="88"/>
      <c r="C248" s="88"/>
      <c r="D248" s="101" t="s">
        <v>39</v>
      </c>
      <c r="E248" s="101"/>
      <c r="F248" s="86">
        <f t="shared" ref="F248:O248" si="34">SUM(F243:F247)</f>
        <v>5202</v>
      </c>
      <c r="G248" s="86">
        <f t="shared" si="34"/>
        <v>5444</v>
      </c>
      <c r="H248" s="86">
        <f t="shared" si="34"/>
        <v>6165</v>
      </c>
      <c r="I248" s="86">
        <f t="shared" si="34"/>
        <v>6527</v>
      </c>
      <c r="J248" s="86">
        <f t="shared" si="34"/>
        <v>6734</v>
      </c>
      <c r="K248" s="86">
        <f t="shared" si="34"/>
        <v>7282</v>
      </c>
      <c r="L248" s="86">
        <f t="shared" si="34"/>
        <v>7621</v>
      </c>
      <c r="M248" s="86">
        <f t="shared" si="34"/>
        <v>7430</v>
      </c>
      <c r="N248" s="86">
        <f t="shared" ref="N248" si="35">SUM(N243:N247)</f>
        <v>7283</v>
      </c>
      <c r="O248" s="86">
        <f t="shared" si="34"/>
        <v>7275</v>
      </c>
      <c r="P248" s="9"/>
    </row>
    <row r="250" spans="1:16" s="21" customFormat="1">
      <c r="A250" s="89"/>
      <c r="D250" s="10" t="s">
        <v>162</v>
      </c>
    </row>
    <row r="252" spans="1:16" s="25" customFormat="1" ht="18">
      <c r="A252" s="89"/>
      <c r="B252" s="22"/>
      <c r="C252" s="22"/>
      <c r="D252" s="66" t="s">
        <v>229</v>
      </c>
      <c r="E252" s="10"/>
      <c r="F252" s="12"/>
      <c r="G252" s="12"/>
      <c r="H252" s="12"/>
      <c r="I252" s="12"/>
      <c r="J252" s="12"/>
      <c r="K252" s="12"/>
      <c r="L252" s="12"/>
      <c r="M252" s="12"/>
      <c r="N252" s="12"/>
      <c r="O252" s="12"/>
      <c r="P252" s="6"/>
    </row>
    <row r="253" spans="1:16">
      <c r="D253" s="20"/>
      <c r="E253" s="21"/>
      <c r="F253" s="14"/>
      <c r="G253" s="14"/>
      <c r="H253" s="14"/>
      <c r="I253" s="14"/>
      <c r="J253" s="14"/>
      <c r="K253" s="14"/>
      <c r="L253" s="14"/>
      <c r="M253" s="14"/>
      <c r="N253" s="14"/>
      <c r="O253" s="14"/>
    </row>
    <row r="254" spans="1:16">
      <c r="A254" s="89" t="s">
        <v>98</v>
      </c>
      <c r="D254" s="20" t="s">
        <v>41</v>
      </c>
      <c r="E254" s="20"/>
      <c r="P254" s="3"/>
    </row>
    <row r="255" spans="1:16">
      <c r="D255" s="20"/>
      <c r="E255" s="21"/>
      <c r="F255" s="15" t="str">
        <f t="shared" ref="F255:O255" si="36">F$35</f>
        <v>2021</v>
      </c>
      <c r="G255" s="15" t="str">
        <f t="shared" si="36"/>
        <v>2022</v>
      </c>
      <c r="H255" s="15" t="str">
        <f t="shared" si="36"/>
        <v>2023</v>
      </c>
      <c r="I255" s="15" t="str">
        <f t="shared" si="36"/>
        <v>2024</v>
      </c>
      <c r="J255" s="15" t="str">
        <f t="shared" si="36"/>
        <v>2025</v>
      </c>
      <c r="K255" s="15" t="str">
        <f t="shared" si="36"/>
        <v>2026</v>
      </c>
      <c r="L255" s="15" t="str">
        <f t="shared" si="36"/>
        <v>2027</v>
      </c>
      <c r="M255" s="15" t="str">
        <f t="shared" si="36"/>
        <v>2028</v>
      </c>
      <c r="N255" s="15" t="str">
        <f t="shared" si="36"/>
        <v>2029</v>
      </c>
      <c r="O255" s="15" t="str">
        <f t="shared" si="36"/>
        <v>2030</v>
      </c>
    </row>
    <row r="256" spans="1:16">
      <c r="B256" s="69"/>
      <c r="C256" s="69"/>
      <c r="D256" s="63" t="s">
        <v>60</v>
      </c>
      <c r="E256" s="26"/>
      <c r="F256" s="44" t="s">
        <v>0</v>
      </c>
      <c r="G256" s="44" t="s">
        <v>0</v>
      </c>
      <c r="H256" s="44" t="s">
        <v>0</v>
      </c>
      <c r="I256" s="44" t="s">
        <v>0</v>
      </c>
      <c r="J256" s="48" t="str">
        <f>$J$54</f>
        <v>Actual</v>
      </c>
      <c r="K256" s="44" t="s">
        <v>1</v>
      </c>
      <c r="L256" s="44" t="s">
        <v>1</v>
      </c>
      <c r="M256" s="44" t="s">
        <v>1</v>
      </c>
      <c r="N256" s="44" t="s">
        <v>1</v>
      </c>
      <c r="O256" s="44" t="s">
        <v>1</v>
      </c>
      <c r="P256" s="82"/>
    </row>
    <row r="257" spans="1:16">
      <c r="N257" s="10"/>
      <c r="O257" s="10"/>
      <c r="P257" s="4"/>
    </row>
    <row r="258" spans="1:16">
      <c r="D258" s="10" t="s">
        <v>7</v>
      </c>
      <c r="F258" s="13">
        <v>73</v>
      </c>
      <c r="G258" s="13">
        <v>82</v>
      </c>
      <c r="H258" s="13">
        <v>124</v>
      </c>
      <c r="I258" s="13">
        <v>105</v>
      </c>
      <c r="J258" s="13">
        <v>87</v>
      </c>
      <c r="K258" s="13">
        <v>105</v>
      </c>
      <c r="L258" s="13">
        <v>76</v>
      </c>
      <c r="M258" s="13">
        <v>74</v>
      </c>
      <c r="N258" s="13">
        <v>72</v>
      </c>
      <c r="O258" s="13">
        <v>71</v>
      </c>
      <c r="P258" s="4"/>
    </row>
    <row r="259" spans="1:16">
      <c r="D259" s="10" t="s">
        <v>126</v>
      </c>
      <c r="F259" s="13">
        <v>3122</v>
      </c>
      <c r="G259" s="13">
        <v>2782</v>
      </c>
      <c r="H259" s="13">
        <v>2212</v>
      </c>
      <c r="I259" s="13">
        <v>3311</v>
      </c>
      <c r="J259" s="13">
        <v>3991</v>
      </c>
      <c r="K259" s="13">
        <v>3992</v>
      </c>
      <c r="L259" s="13">
        <v>3989</v>
      </c>
      <c r="M259" s="13">
        <v>4527</v>
      </c>
      <c r="N259" s="13">
        <v>4963</v>
      </c>
      <c r="O259" s="13">
        <v>5036</v>
      </c>
      <c r="P259" s="4"/>
    </row>
    <row r="260" spans="1:16">
      <c r="D260" s="10" t="s">
        <v>147</v>
      </c>
      <c r="F260" s="13">
        <v>13</v>
      </c>
      <c r="G260" s="13">
        <v>310</v>
      </c>
      <c r="H260" s="13">
        <v>567</v>
      </c>
      <c r="I260" s="13">
        <v>745</v>
      </c>
      <c r="J260" s="13">
        <v>758</v>
      </c>
      <c r="K260" s="13">
        <v>665</v>
      </c>
      <c r="L260" s="13">
        <v>460</v>
      </c>
      <c r="M260" s="13">
        <v>368</v>
      </c>
      <c r="N260" s="13">
        <v>249</v>
      </c>
      <c r="O260" s="13">
        <v>209</v>
      </c>
      <c r="P260" s="7"/>
    </row>
    <row r="261" spans="1:16">
      <c r="D261" s="10" t="s">
        <v>135</v>
      </c>
      <c r="F261" s="13">
        <v>570</v>
      </c>
      <c r="G261" s="13">
        <v>554</v>
      </c>
      <c r="H261" s="13">
        <v>197</v>
      </c>
      <c r="I261" s="13">
        <v>89</v>
      </c>
      <c r="J261" s="13">
        <v>76</v>
      </c>
      <c r="K261" s="13">
        <v>0</v>
      </c>
      <c r="L261" s="13">
        <v>0</v>
      </c>
      <c r="M261" s="13">
        <v>0</v>
      </c>
      <c r="N261" s="13">
        <v>0</v>
      </c>
      <c r="O261" s="13">
        <v>0</v>
      </c>
      <c r="P261" s="5"/>
    </row>
    <row r="262" spans="1:16">
      <c r="D262" s="10" t="s">
        <v>195</v>
      </c>
      <c r="F262" s="13">
        <v>0</v>
      </c>
      <c r="G262" s="13">
        <v>0</v>
      </c>
      <c r="H262" s="13">
        <v>250</v>
      </c>
      <c r="I262" s="13">
        <v>312</v>
      </c>
      <c r="J262" s="13">
        <v>191</v>
      </c>
      <c r="K262" s="13">
        <v>0</v>
      </c>
      <c r="L262" s="13">
        <v>0</v>
      </c>
      <c r="M262" s="13">
        <v>0</v>
      </c>
      <c r="N262" s="13">
        <v>0</v>
      </c>
      <c r="O262" s="13">
        <v>0</v>
      </c>
      <c r="P262" s="5"/>
    </row>
    <row r="263" spans="1:16" ht="30.75">
      <c r="D263" s="25" t="s">
        <v>143</v>
      </c>
      <c r="F263" s="13">
        <v>322</v>
      </c>
      <c r="G263" s="13">
        <v>128</v>
      </c>
      <c r="H263" s="13">
        <v>18</v>
      </c>
      <c r="I263" s="13">
        <v>19</v>
      </c>
      <c r="J263" s="13">
        <v>62</v>
      </c>
      <c r="K263" s="13">
        <v>0</v>
      </c>
      <c r="L263" s="13">
        <v>0</v>
      </c>
      <c r="M263" s="13">
        <v>0</v>
      </c>
      <c r="N263" s="13">
        <v>0</v>
      </c>
      <c r="O263" s="13">
        <v>0</v>
      </c>
      <c r="P263" s="5"/>
    </row>
    <row r="264" spans="1:16">
      <c r="D264" s="10" t="s">
        <v>127</v>
      </c>
      <c r="F264" s="13">
        <v>1035</v>
      </c>
      <c r="G264" s="13">
        <v>0</v>
      </c>
      <c r="H264" s="13">
        <v>0</v>
      </c>
      <c r="I264" s="13">
        <v>326</v>
      </c>
      <c r="J264" s="13">
        <v>0</v>
      </c>
      <c r="K264" s="13">
        <v>0</v>
      </c>
      <c r="L264" s="13">
        <v>0</v>
      </c>
      <c r="M264" s="13">
        <v>0</v>
      </c>
      <c r="N264" s="13">
        <v>0</v>
      </c>
      <c r="O264" s="13">
        <v>0</v>
      </c>
      <c r="P264" s="5"/>
    </row>
    <row r="265" spans="1:16" ht="18.75">
      <c r="D265" s="10" t="s">
        <v>148</v>
      </c>
      <c r="F265" s="13"/>
      <c r="G265" s="13">
        <v>411</v>
      </c>
      <c r="H265" s="13">
        <v>1613</v>
      </c>
      <c r="I265" s="13">
        <v>0</v>
      </c>
      <c r="J265" s="13">
        <v>0</v>
      </c>
      <c r="K265" s="13">
        <v>0</v>
      </c>
      <c r="L265" s="13">
        <v>0</v>
      </c>
      <c r="M265" s="13">
        <v>0</v>
      </c>
      <c r="N265" s="13">
        <v>0</v>
      </c>
      <c r="O265" s="13">
        <v>0</v>
      </c>
      <c r="P265" s="5"/>
    </row>
    <row r="266" spans="1:16">
      <c r="D266" s="10" t="s">
        <v>3</v>
      </c>
      <c r="F266" s="13">
        <v>169</v>
      </c>
      <c r="G266" s="13">
        <v>200</v>
      </c>
      <c r="H266" s="13">
        <v>395</v>
      </c>
      <c r="I266" s="13">
        <v>317</v>
      </c>
      <c r="J266" s="13">
        <v>231</v>
      </c>
      <c r="K266" s="13">
        <v>190</v>
      </c>
      <c r="L266" s="13">
        <v>200</v>
      </c>
      <c r="M266" s="13">
        <v>146</v>
      </c>
      <c r="N266" s="13">
        <v>119</v>
      </c>
      <c r="O266" s="13">
        <v>119</v>
      </c>
      <c r="P266" s="4"/>
    </row>
    <row r="267" spans="1:16" ht="18.75">
      <c r="D267" s="10" t="s">
        <v>186</v>
      </c>
      <c r="F267" s="13">
        <v>352</v>
      </c>
      <c r="G267" s="13">
        <v>190</v>
      </c>
      <c r="H267" s="13">
        <v>96</v>
      </c>
      <c r="I267" s="13">
        <v>263</v>
      </c>
      <c r="J267" s="13">
        <v>76</v>
      </c>
      <c r="K267" s="13">
        <v>1122</v>
      </c>
      <c r="L267" s="13">
        <v>385</v>
      </c>
      <c r="M267" s="13">
        <v>292</v>
      </c>
      <c r="N267" s="13">
        <v>245</v>
      </c>
      <c r="O267" s="13">
        <v>166</v>
      </c>
      <c r="P267" s="5"/>
    </row>
    <row r="268" spans="1:16" ht="16.5" thickBot="1">
      <c r="D268" s="58"/>
      <c r="E268" s="58"/>
      <c r="F268" s="59"/>
      <c r="G268" s="59"/>
      <c r="H268" s="59"/>
      <c r="I268" s="59"/>
      <c r="J268" s="59"/>
      <c r="K268" s="59"/>
      <c r="L268" s="59"/>
      <c r="M268" s="59"/>
      <c r="N268" s="59"/>
      <c r="O268" s="59"/>
    </row>
    <row r="269" spans="1:16" s="83" customFormat="1" ht="18" customHeight="1" thickBot="1">
      <c r="A269" s="89"/>
      <c r="B269" s="88"/>
      <c r="C269" s="88"/>
      <c r="D269" s="101" t="s">
        <v>41</v>
      </c>
      <c r="E269" s="101"/>
      <c r="F269" s="86">
        <f t="shared" ref="F269:O269" si="37">SUM(F258:F267)</f>
        <v>5656</v>
      </c>
      <c r="G269" s="86">
        <f t="shared" si="37"/>
        <v>4657</v>
      </c>
      <c r="H269" s="86">
        <f t="shared" si="37"/>
        <v>5472</v>
      </c>
      <c r="I269" s="86">
        <f t="shared" si="37"/>
        <v>5487</v>
      </c>
      <c r="J269" s="86">
        <f t="shared" si="37"/>
        <v>5472</v>
      </c>
      <c r="K269" s="86">
        <f t="shared" si="37"/>
        <v>6074</v>
      </c>
      <c r="L269" s="86">
        <f t="shared" si="37"/>
        <v>5110</v>
      </c>
      <c r="M269" s="86">
        <f t="shared" si="37"/>
        <v>5407</v>
      </c>
      <c r="N269" s="86">
        <f t="shared" ref="N269" si="38">SUM(N258:N267)</f>
        <v>5648</v>
      </c>
      <c r="O269" s="86">
        <f t="shared" si="37"/>
        <v>5601</v>
      </c>
      <c r="P269" s="9"/>
    </row>
    <row r="270" spans="1:16">
      <c r="P270" s="7"/>
    </row>
    <row r="271" spans="1:16">
      <c r="D271" s="10" t="s">
        <v>184</v>
      </c>
    </row>
    <row r="272" spans="1:16" s="21" customFormat="1">
      <c r="A272" s="89"/>
      <c r="B272" s="22"/>
      <c r="C272" s="22"/>
      <c r="D272" s="10" t="s">
        <v>190</v>
      </c>
      <c r="E272" s="22"/>
      <c r="F272" s="22"/>
      <c r="G272" s="22"/>
      <c r="H272" s="22"/>
      <c r="I272" s="22"/>
      <c r="J272" s="25"/>
      <c r="K272" s="46"/>
      <c r="L272" s="46"/>
      <c r="M272" s="46"/>
      <c r="N272" s="46"/>
      <c r="O272" s="46"/>
      <c r="P272" s="46"/>
    </row>
    <row r="273" spans="1:16">
      <c r="D273" s="10" t="s">
        <v>187</v>
      </c>
      <c r="E273" s="22"/>
      <c r="F273" s="22"/>
      <c r="G273" s="22"/>
      <c r="H273" s="22"/>
      <c r="I273" s="22"/>
      <c r="J273" s="25"/>
      <c r="K273" s="46"/>
      <c r="L273" s="46"/>
      <c r="M273" s="46"/>
      <c r="N273" s="46"/>
      <c r="O273" s="46"/>
      <c r="P273" s="46"/>
    </row>
    <row r="274" spans="1:16">
      <c r="P274" s="6"/>
    </row>
    <row r="275" spans="1:16" s="25" customFormat="1" ht="18">
      <c r="A275" s="89"/>
      <c r="B275" s="22"/>
      <c r="C275" s="22"/>
      <c r="D275" s="66" t="s">
        <v>229</v>
      </c>
      <c r="K275" s="46"/>
      <c r="L275" s="46"/>
      <c r="M275" s="46"/>
      <c r="N275" s="46"/>
      <c r="O275" s="46"/>
      <c r="P275" s="46"/>
    </row>
    <row r="276" spans="1:16">
      <c r="D276" s="20"/>
      <c r="E276" s="21"/>
      <c r="F276" s="14"/>
      <c r="G276" s="14"/>
      <c r="H276" s="14"/>
      <c r="I276" s="14"/>
      <c r="J276" s="14"/>
      <c r="K276" s="14"/>
      <c r="L276" s="14"/>
      <c r="M276" s="14"/>
      <c r="N276" s="14"/>
      <c r="O276" s="14"/>
      <c r="P276" s="2"/>
    </row>
    <row r="277" spans="1:16">
      <c r="A277" s="89" t="s">
        <v>99</v>
      </c>
      <c r="D277" s="20" t="s">
        <v>51</v>
      </c>
      <c r="E277" s="20"/>
      <c r="P277" s="3"/>
    </row>
    <row r="278" spans="1:16">
      <c r="B278" s="69"/>
      <c r="D278" s="20"/>
      <c r="E278" s="21"/>
      <c r="F278" s="15" t="str">
        <f t="shared" ref="F278:O278" si="39">F$35</f>
        <v>2021</v>
      </c>
      <c r="G278" s="15" t="str">
        <f t="shared" si="39"/>
        <v>2022</v>
      </c>
      <c r="H278" s="15" t="str">
        <f t="shared" si="39"/>
        <v>2023</v>
      </c>
      <c r="I278" s="15" t="str">
        <f t="shared" si="39"/>
        <v>2024</v>
      </c>
      <c r="J278" s="15" t="str">
        <f t="shared" si="39"/>
        <v>2025</v>
      </c>
      <c r="K278" s="15" t="str">
        <f t="shared" si="39"/>
        <v>2026</v>
      </c>
      <c r="L278" s="15" t="str">
        <f t="shared" si="39"/>
        <v>2027</v>
      </c>
      <c r="M278" s="15" t="str">
        <f t="shared" si="39"/>
        <v>2028</v>
      </c>
      <c r="N278" s="15" t="str">
        <f t="shared" si="39"/>
        <v>2029</v>
      </c>
      <c r="O278" s="15" t="str">
        <f t="shared" si="39"/>
        <v>2030</v>
      </c>
    </row>
    <row r="279" spans="1:16">
      <c r="C279" s="69"/>
      <c r="D279" s="63" t="s">
        <v>60</v>
      </c>
      <c r="E279" s="26"/>
      <c r="F279" s="44" t="s">
        <v>0</v>
      </c>
      <c r="G279" s="44" t="s">
        <v>0</v>
      </c>
      <c r="H279" s="44" t="s">
        <v>0</v>
      </c>
      <c r="I279" s="44" t="s">
        <v>0</v>
      </c>
      <c r="J279" s="48" t="str">
        <f>$J$54</f>
        <v>Actual</v>
      </c>
      <c r="K279" s="44" t="s">
        <v>1</v>
      </c>
      <c r="L279" s="44" t="s">
        <v>1</v>
      </c>
      <c r="M279" s="44" t="s">
        <v>1</v>
      </c>
      <c r="N279" s="44" t="s">
        <v>1</v>
      </c>
      <c r="O279" s="44" t="s">
        <v>1</v>
      </c>
      <c r="P279" s="82"/>
    </row>
    <row r="280" spans="1:16">
      <c r="N280" s="10"/>
      <c r="O280" s="10"/>
      <c r="P280" s="4"/>
    </row>
    <row r="281" spans="1:16">
      <c r="D281" s="10" t="s">
        <v>7</v>
      </c>
      <c r="F281" s="13">
        <v>633</v>
      </c>
      <c r="G281" s="13">
        <v>626</v>
      </c>
      <c r="H281" s="13">
        <v>695</v>
      </c>
      <c r="I281" s="13">
        <v>762</v>
      </c>
      <c r="J281" s="13">
        <v>727</v>
      </c>
      <c r="K281" s="13">
        <v>896</v>
      </c>
      <c r="L281" s="13">
        <v>849</v>
      </c>
      <c r="M281" s="13">
        <v>820</v>
      </c>
      <c r="N281" s="13">
        <v>806</v>
      </c>
      <c r="O281" s="13">
        <v>784</v>
      </c>
      <c r="P281" s="4"/>
    </row>
    <row r="282" spans="1:16" ht="18.75">
      <c r="D282" s="10" t="s">
        <v>205</v>
      </c>
      <c r="F282" s="13">
        <v>1980</v>
      </c>
      <c r="G282" s="13">
        <v>1701</v>
      </c>
      <c r="H282" s="13">
        <v>1573</v>
      </c>
      <c r="I282" s="13">
        <v>1830</v>
      </c>
      <c r="J282" s="13">
        <v>1254</v>
      </c>
      <c r="K282" s="13">
        <v>1380</v>
      </c>
      <c r="L282" s="13">
        <v>1408</v>
      </c>
      <c r="M282" s="13">
        <v>1331</v>
      </c>
      <c r="N282" s="13">
        <v>1492</v>
      </c>
      <c r="O282" s="13">
        <v>1520</v>
      </c>
      <c r="P282" s="4"/>
    </row>
    <row r="283" spans="1:16">
      <c r="D283" s="10" t="s">
        <v>134</v>
      </c>
      <c r="F283" s="13">
        <v>916</v>
      </c>
      <c r="G283" s="13">
        <v>964</v>
      </c>
      <c r="H283" s="13">
        <v>997</v>
      </c>
      <c r="I283" s="13">
        <v>1014</v>
      </c>
      <c r="J283" s="13">
        <v>1020</v>
      </c>
      <c r="K283" s="13">
        <v>560</v>
      </c>
      <c r="L283" s="13">
        <v>583</v>
      </c>
      <c r="M283" s="13">
        <v>608</v>
      </c>
      <c r="N283" s="13">
        <v>639</v>
      </c>
      <c r="O283" s="13">
        <v>659</v>
      </c>
      <c r="P283" s="4"/>
    </row>
    <row r="284" spans="1:16" ht="30">
      <c r="D284" s="62" t="s">
        <v>108</v>
      </c>
      <c r="F284" s="13">
        <v>143</v>
      </c>
      <c r="G284" s="13">
        <v>230</v>
      </c>
      <c r="H284" s="13">
        <v>54</v>
      </c>
      <c r="I284" s="13">
        <v>0</v>
      </c>
      <c r="J284" s="13">
        <v>0</v>
      </c>
      <c r="K284" s="13">
        <v>0</v>
      </c>
      <c r="L284" s="13">
        <v>0</v>
      </c>
      <c r="M284" s="13">
        <v>0</v>
      </c>
      <c r="N284" s="13">
        <v>0</v>
      </c>
      <c r="O284" s="13">
        <v>0</v>
      </c>
      <c r="P284" s="9"/>
    </row>
    <row r="285" spans="1:16">
      <c r="D285" s="10" t="s">
        <v>136</v>
      </c>
      <c r="F285" s="13">
        <v>200</v>
      </c>
      <c r="G285" s="13">
        <v>4019</v>
      </c>
      <c r="H285" s="13">
        <v>0</v>
      </c>
      <c r="I285" s="13">
        <v>0</v>
      </c>
      <c r="J285" s="13">
        <v>0</v>
      </c>
      <c r="K285" s="13">
        <v>0</v>
      </c>
      <c r="L285" s="13">
        <v>0</v>
      </c>
      <c r="M285" s="13">
        <v>0</v>
      </c>
      <c r="N285" s="13">
        <v>0</v>
      </c>
      <c r="O285" s="13">
        <v>0</v>
      </c>
      <c r="P285" s="9"/>
    </row>
    <row r="286" spans="1:16">
      <c r="D286" s="10" t="s">
        <v>137</v>
      </c>
      <c r="F286" s="13">
        <v>24</v>
      </c>
      <c r="G286" s="13">
        <v>14</v>
      </c>
      <c r="H286" s="13">
        <v>13</v>
      </c>
      <c r="I286" s="13">
        <v>9</v>
      </c>
      <c r="J286" s="13">
        <v>3</v>
      </c>
      <c r="K286" s="13">
        <v>7</v>
      </c>
      <c r="L286" s="13">
        <v>0</v>
      </c>
      <c r="M286" s="13">
        <v>0</v>
      </c>
      <c r="N286" s="13">
        <v>0</v>
      </c>
      <c r="O286" s="13">
        <v>0</v>
      </c>
      <c r="P286" s="9"/>
    </row>
    <row r="287" spans="1:16" ht="16.5" customHeight="1">
      <c r="D287" s="10" t="s">
        <v>124</v>
      </c>
      <c r="F287" s="13">
        <v>159</v>
      </c>
      <c r="G287" s="13">
        <v>174</v>
      </c>
      <c r="H287" s="13">
        <v>67</v>
      </c>
      <c r="I287" s="13">
        <v>0</v>
      </c>
      <c r="J287" s="13">
        <v>0</v>
      </c>
      <c r="K287" s="13">
        <v>0</v>
      </c>
      <c r="L287" s="13">
        <v>0</v>
      </c>
      <c r="M287" s="13">
        <v>0</v>
      </c>
      <c r="N287" s="13">
        <v>0</v>
      </c>
      <c r="O287" s="13">
        <v>0</v>
      </c>
      <c r="P287" s="9"/>
    </row>
    <row r="288" spans="1:16" ht="16.5" customHeight="1">
      <c r="D288" s="10" t="s">
        <v>125</v>
      </c>
      <c r="F288" s="13">
        <v>50</v>
      </c>
      <c r="G288" s="13">
        <v>6</v>
      </c>
      <c r="H288" s="13">
        <v>1</v>
      </c>
      <c r="I288" s="13">
        <v>1</v>
      </c>
      <c r="J288" s="13">
        <v>0</v>
      </c>
      <c r="K288" s="13">
        <v>0</v>
      </c>
      <c r="L288" s="13">
        <v>0</v>
      </c>
      <c r="M288" s="13">
        <v>0</v>
      </c>
      <c r="N288" s="13">
        <v>0</v>
      </c>
      <c r="O288" s="13">
        <v>0</v>
      </c>
      <c r="P288" s="9"/>
    </row>
    <row r="289" spans="1:16" ht="18.75">
      <c r="D289" s="10" t="s">
        <v>206</v>
      </c>
      <c r="F289" s="13">
        <v>376</v>
      </c>
      <c r="G289" s="13">
        <v>344</v>
      </c>
      <c r="H289" s="13">
        <v>290</v>
      </c>
      <c r="I289" s="13">
        <v>394</v>
      </c>
      <c r="J289" s="92">
        <v>510</v>
      </c>
      <c r="K289" s="92">
        <v>658</v>
      </c>
      <c r="L289" s="92">
        <v>605</v>
      </c>
      <c r="M289" s="92">
        <v>355</v>
      </c>
      <c r="N289" s="92">
        <v>348</v>
      </c>
      <c r="O289" s="92">
        <v>347</v>
      </c>
      <c r="P289" s="9"/>
    </row>
    <row r="290" spans="1:16" ht="16.5" thickBot="1">
      <c r="D290" s="58"/>
      <c r="E290" s="58"/>
      <c r="F290" s="59"/>
      <c r="G290" s="59"/>
      <c r="H290" s="59"/>
      <c r="I290" s="59"/>
      <c r="J290" s="59"/>
      <c r="K290" s="59"/>
      <c r="L290" s="59"/>
      <c r="M290" s="59"/>
      <c r="N290" s="59"/>
      <c r="O290" s="59"/>
    </row>
    <row r="291" spans="1:16" s="83" customFormat="1" ht="18" customHeight="1" thickBot="1">
      <c r="A291" s="89"/>
      <c r="B291" s="88"/>
      <c r="C291" s="88"/>
      <c r="D291" s="101" t="s">
        <v>51</v>
      </c>
      <c r="E291" s="101"/>
      <c r="F291" s="86">
        <f t="shared" ref="F291:O291" si="40">SUM(F281:F289)</f>
        <v>4481</v>
      </c>
      <c r="G291" s="86">
        <f t="shared" si="40"/>
        <v>8078</v>
      </c>
      <c r="H291" s="86">
        <f t="shared" si="40"/>
        <v>3690</v>
      </c>
      <c r="I291" s="86">
        <f t="shared" si="40"/>
        <v>4010</v>
      </c>
      <c r="J291" s="86">
        <f t="shared" si="40"/>
        <v>3514</v>
      </c>
      <c r="K291" s="86">
        <f t="shared" si="40"/>
        <v>3501</v>
      </c>
      <c r="L291" s="86">
        <f t="shared" si="40"/>
        <v>3445</v>
      </c>
      <c r="M291" s="86">
        <f t="shared" si="40"/>
        <v>3114</v>
      </c>
      <c r="N291" s="86">
        <f t="shared" ref="N291" si="41">SUM(N281:N289)</f>
        <v>3285</v>
      </c>
      <c r="O291" s="86">
        <f t="shared" si="40"/>
        <v>3310</v>
      </c>
      <c r="P291" s="9"/>
    </row>
    <row r="292" spans="1:16">
      <c r="D292" s="63"/>
      <c r="E292" s="63"/>
      <c r="F292" s="16"/>
      <c r="G292" s="16"/>
      <c r="H292" s="16"/>
      <c r="I292" s="16"/>
      <c r="J292" s="16"/>
      <c r="K292" s="16"/>
      <c r="L292" s="16"/>
      <c r="M292" s="16"/>
      <c r="N292" s="16"/>
      <c r="O292" s="16"/>
      <c r="P292" s="6"/>
    </row>
    <row r="293" spans="1:16">
      <c r="D293" s="10" t="s">
        <v>175</v>
      </c>
      <c r="E293" s="63"/>
      <c r="F293" s="16"/>
      <c r="G293" s="16"/>
      <c r="H293" s="16"/>
      <c r="I293" s="16"/>
      <c r="J293" s="16"/>
      <c r="K293" s="16"/>
      <c r="L293" s="16"/>
      <c r="M293" s="16"/>
      <c r="N293" s="16"/>
      <c r="O293" s="16"/>
      <c r="P293" s="6"/>
    </row>
    <row r="294" spans="1:16" s="21" customFormat="1">
      <c r="A294" s="89"/>
      <c r="B294" s="22"/>
      <c r="C294" s="22"/>
      <c r="D294" s="10" t="s">
        <v>157</v>
      </c>
      <c r="E294" s="63"/>
      <c r="F294" s="16"/>
      <c r="G294" s="16"/>
      <c r="H294" s="16"/>
      <c r="I294" s="16"/>
      <c r="J294" s="16"/>
      <c r="K294" s="16"/>
      <c r="L294" s="16"/>
      <c r="M294" s="16"/>
      <c r="N294" s="16"/>
      <c r="O294" s="16"/>
      <c r="P294" s="6"/>
    </row>
    <row r="295" spans="1:16">
      <c r="D295" s="10" t="s">
        <v>191</v>
      </c>
      <c r="E295" s="63"/>
      <c r="F295" s="16"/>
      <c r="G295" s="16"/>
      <c r="H295" s="16"/>
      <c r="I295" s="16"/>
      <c r="J295" s="16"/>
      <c r="K295" s="16"/>
      <c r="L295" s="16"/>
      <c r="M295" s="16"/>
      <c r="N295" s="16"/>
      <c r="O295" s="16"/>
      <c r="P295" s="6"/>
    </row>
    <row r="296" spans="1:16" s="25" customFormat="1">
      <c r="A296" s="89"/>
      <c r="B296" s="22"/>
      <c r="C296" s="22"/>
      <c r="D296" s="39" t="s">
        <v>220</v>
      </c>
      <c r="E296" s="63"/>
      <c r="F296" s="16"/>
      <c r="G296" s="16"/>
      <c r="H296" s="16"/>
      <c r="I296" s="16"/>
      <c r="J296" s="16"/>
      <c r="K296" s="16"/>
      <c r="L296" s="16"/>
      <c r="M296" s="16"/>
      <c r="N296" s="16"/>
      <c r="O296" s="16"/>
      <c r="P296" s="6"/>
    </row>
    <row r="297" spans="1:16" s="25" customFormat="1">
      <c r="A297" s="89"/>
      <c r="B297" s="22"/>
      <c r="C297" s="22"/>
      <c r="D297" s="39"/>
      <c r="E297" s="63"/>
      <c r="F297" s="16"/>
      <c r="G297" s="16"/>
      <c r="H297" s="16"/>
      <c r="I297" s="16"/>
      <c r="J297" s="16"/>
      <c r="K297" s="16"/>
      <c r="L297" s="16"/>
      <c r="M297" s="16"/>
      <c r="N297" s="16"/>
      <c r="O297" s="16"/>
      <c r="P297" s="6"/>
    </row>
    <row r="298" spans="1:16" ht="18">
      <c r="D298" s="66" t="s">
        <v>229</v>
      </c>
      <c r="E298" s="63"/>
      <c r="F298" s="16"/>
      <c r="G298" s="16"/>
      <c r="H298" s="16"/>
      <c r="I298" s="16"/>
      <c r="J298" s="16"/>
      <c r="K298" s="16"/>
      <c r="L298" s="16"/>
      <c r="M298" s="16"/>
      <c r="N298" s="16"/>
      <c r="O298" s="16"/>
      <c r="P298" s="6"/>
    </row>
    <row r="299" spans="1:16" ht="18">
      <c r="D299" s="66"/>
      <c r="P299" s="6"/>
    </row>
    <row r="300" spans="1:16">
      <c r="A300" s="89" t="s">
        <v>100</v>
      </c>
      <c r="D300" s="20" t="s">
        <v>40</v>
      </c>
      <c r="E300" s="20"/>
      <c r="P300" s="3"/>
    </row>
    <row r="301" spans="1:16">
      <c r="B301" s="69"/>
      <c r="D301" s="20"/>
      <c r="E301" s="21"/>
      <c r="F301" s="15" t="str">
        <f t="shared" ref="F301:O301" si="42">F$35</f>
        <v>2021</v>
      </c>
      <c r="G301" s="15" t="str">
        <f t="shared" si="42"/>
        <v>2022</v>
      </c>
      <c r="H301" s="15" t="str">
        <f t="shared" si="42"/>
        <v>2023</v>
      </c>
      <c r="I301" s="15" t="str">
        <f t="shared" si="42"/>
        <v>2024</v>
      </c>
      <c r="J301" s="15" t="str">
        <f t="shared" si="42"/>
        <v>2025</v>
      </c>
      <c r="K301" s="15" t="str">
        <f t="shared" si="42"/>
        <v>2026</v>
      </c>
      <c r="L301" s="15" t="str">
        <f t="shared" si="42"/>
        <v>2027</v>
      </c>
      <c r="M301" s="15" t="str">
        <f t="shared" si="42"/>
        <v>2028</v>
      </c>
      <c r="N301" s="15" t="str">
        <f t="shared" si="42"/>
        <v>2029</v>
      </c>
      <c r="O301" s="15" t="str">
        <f t="shared" si="42"/>
        <v>2030</v>
      </c>
      <c r="P301" s="15"/>
    </row>
    <row r="302" spans="1:16">
      <c r="C302" s="69"/>
      <c r="D302" s="63" t="s">
        <v>60</v>
      </c>
      <c r="E302" s="26"/>
      <c r="F302" s="44" t="s">
        <v>0</v>
      </c>
      <c r="G302" s="44" t="s">
        <v>0</v>
      </c>
      <c r="H302" s="44" t="s">
        <v>0</v>
      </c>
      <c r="I302" s="44" t="s">
        <v>0</v>
      </c>
      <c r="J302" s="48" t="str">
        <f>$J$54</f>
        <v>Actual</v>
      </c>
      <c r="K302" s="44" t="s">
        <v>1</v>
      </c>
      <c r="L302" s="44" t="s">
        <v>1</v>
      </c>
      <c r="M302" s="44" t="s">
        <v>1</v>
      </c>
      <c r="N302" s="44" t="s">
        <v>1</v>
      </c>
      <c r="O302" s="44" t="s">
        <v>1</v>
      </c>
      <c r="P302" s="15"/>
    </row>
    <row r="303" spans="1:16">
      <c r="N303" s="10"/>
      <c r="O303" s="10"/>
      <c r="P303" s="15"/>
    </row>
    <row r="304" spans="1:16">
      <c r="D304" s="10" t="s">
        <v>131</v>
      </c>
      <c r="F304" s="13">
        <v>2531</v>
      </c>
      <c r="G304" s="13">
        <v>2672</v>
      </c>
      <c r="H304" s="13">
        <v>2754</v>
      </c>
      <c r="I304" s="13">
        <v>3033</v>
      </c>
      <c r="J304" s="13">
        <v>3074</v>
      </c>
      <c r="K304" s="13">
        <v>3389</v>
      </c>
      <c r="L304" s="13">
        <v>3594</v>
      </c>
      <c r="M304" s="13">
        <v>3580</v>
      </c>
      <c r="N304" s="13">
        <v>3645</v>
      </c>
      <c r="O304" s="13">
        <v>3649</v>
      </c>
      <c r="P304" s="15"/>
    </row>
    <row r="305" spans="1:16" s="21" customFormat="1">
      <c r="A305" s="89"/>
      <c r="B305" s="22"/>
      <c r="C305" s="22"/>
      <c r="D305" s="10" t="s">
        <v>8</v>
      </c>
      <c r="E305" s="10"/>
      <c r="F305" s="13">
        <v>133</v>
      </c>
      <c r="G305" s="13">
        <v>160</v>
      </c>
      <c r="H305" s="13">
        <v>132</v>
      </c>
      <c r="I305" s="13">
        <v>130</v>
      </c>
      <c r="J305" s="13">
        <v>197</v>
      </c>
      <c r="K305" s="13">
        <v>208</v>
      </c>
      <c r="L305" s="13">
        <v>240</v>
      </c>
      <c r="M305" s="13">
        <v>258</v>
      </c>
      <c r="N305" s="13">
        <v>244</v>
      </c>
      <c r="O305" s="13">
        <v>244</v>
      </c>
      <c r="P305" s="1"/>
    </row>
    <row r="306" spans="1:16" ht="16.5" thickBot="1">
      <c r="F306" s="59"/>
      <c r="G306" s="59"/>
      <c r="H306" s="59"/>
      <c r="I306" s="59"/>
      <c r="J306" s="59"/>
      <c r="K306" s="59"/>
      <c r="L306" s="59"/>
      <c r="M306" s="59"/>
      <c r="N306" s="59"/>
      <c r="O306" s="59"/>
    </row>
    <row r="307" spans="1:16" s="83" customFormat="1" ht="18" customHeight="1" thickBot="1">
      <c r="A307" s="89"/>
      <c r="B307" s="88"/>
      <c r="C307" s="88"/>
      <c r="D307" s="101" t="s">
        <v>40</v>
      </c>
      <c r="E307" s="101"/>
      <c r="F307" s="86">
        <f t="shared" ref="F307:O307" si="43">SUM(F304:F306)</f>
        <v>2664</v>
      </c>
      <c r="G307" s="86">
        <f t="shared" si="43"/>
        <v>2832</v>
      </c>
      <c r="H307" s="86">
        <f t="shared" si="43"/>
        <v>2886</v>
      </c>
      <c r="I307" s="86">
        <f t="shared" si="43"/>
        <v>3163</v>
      </c>
      <c r="J307" s="86">
        <f t="shared" si="43"/>
        <v>3271</v>
      </c>
      <c r="K307" s="86">
        <f t="shared" si="43"/>
        <v>3597</v>
      </c>
      <c r="L307" s="86">
        <f t="shared" si="43"/>
        <v>3834</v>
      </c>
      <c r="M307" s="86">
        <f t="shared" si="43"/>
        <v>3838</v>
      </c>
      <c r="N307" s="86">
        <f t="shared" ref="N307" si="44">SUM(N304:N306)</f>
        <v>3889</v>
      </c>
      <c r="O307" s="86">
        <f t="shared" si="43"/>
        <v>3893</v>
      </c>
      <c r="P307" s="9"/>
    </row>
    <row r="308" spans="1:16">
      <c r="P308" s="6"/>
    </row>
    <row r="309" spans="1:16" ht="18">
      <c r="D309" s="66" t="s">
        <v>229</v>
      </c>
      <c r="P309" s="12"/>
    </row>
    <row r="310" spans="1:16">
      <c r="D310" s="20"/>
      <c r="E310" s="21"/>
      <c r="F310" s="14"/>
      <c r="G310" s="14"/>
      <c r="H310" s="14"/>
      <c r="I310" s="14"/>
      <c r="J310" s="14"/>
      <c r="K310" s="14"/>
      <c r="L310" s="14"/>
      <c r="M310" s="14"/>
      <c r="N310" s="14"/>
      <c r="O310" s="14"/>
    </row>
    <row r="311" spans="1:16">
      <c r="A311" s="89" t="s">
        <v>101</v>
      </c>
      <c r="D311" s="20" t="s">
        <v>42</v>
      </c>
      <c r="E311" s="20"/>
      <c r="P311" s="3"/>
    </row>
    <row r="312" spans="1:16">
      <c r="B312" s="69"/>
      <c r="D312" s="20"/>
      <c r="E312" s="21"/>
      <c r="F312" s="15" t="str">
        <f t="shared" ref="F312:O312" si="45">F$35</f>
        <v>2021</v>
      </c>
      <c r="G312" s="15" t="str">
        <f t="shared" si="45"/>
        <v>2022</v>
      </c>
      <c r="H312" s="15" t="str">
        <f t="shared" si="45"/>
        <v>2023</v>
      </c>
      <c r="I312" s="15" t="str">
        <f t="shared" si="45"/>
        <v>2024</v>
      </c>
      <c r="J312" s="15" t="str">
        <f t="shared" si="45"/>
        <v>2025</v>
      </c>
      <c r="K312" s="15" t="str">
        <f t="shared" si="45"/>
        <v>2026</v>
      </c>
      <c r="L312" s="15" t="str">
        <f t="shared" si="45"/>
        <v>2027</v>
      </c>
      <c r="M312" s="15" t="str">
        <f t="shared" si="45"/>
        <v>2028</v>
      </c>
      <c r="N312" s="15" t="str">
        <f t="shared" si="45"/>
        <v>2029</v>
      </c>
      <c r="O312" s="15" t="str">
        <f t="shared" si="45"/>
        <v>2030</v>
      </c>
    </row>
    <row r="313" spans="1:16">
      <c r="C313" s="69"/>
      <c r="D313" s="63" t="s">
        <v>60</v>
      </c>
      <c r="E313" s="26"/>
      <c r="F313" s="44" t="s">
        <v>0</v>
      </c>
      <c r="G313" s="44" t="s">
        <v>0</v>
      </c>
      <c r="H313" s="44" t="s">
        <v>0</v>
      </c>
      <c r="I313" s="44" t="s">
        <v>0</v>
      </c>
      <c r="J313" s="48" t="str">
        <f>$J$54</f>
        <v>Actual</v>
      </c>
      <c r="K313" s="44" t="s">
        <v>1</v>
      </c>
      <c r="L313" s="44" t="s">
        <v>1</v>
      </c>
      <c r="M313" s="44" t="s">
        <v>1</v>
      </c>
      <c r="N313" s="44" t="s">
        <v>1</v>
      </c>
      <c r="O313" s="44" t="s">
        <v>1</v>
      </c>
      <c r="P313" s="82"/>
    </row>
    <row r="314" spans="1:16">
      <c r="N314" s="10"/>
      <c r="O314" s="10"/>
      <c r="P314" s="4"/>
    </row>
    <row r="315" spans="1:16" ht="17.25" customHeight="1">
      <c r="D315" s="10" t="s">
        <v>7</v>
      </c>
      <c r="F315" s="13">
        <v>379</v>
      </c>
      <c r="G315" s="13">
        <v>374</v>
      </c>
      <c r="H315" s="13">
        <v>449</v>
      </c>
      <c r="I315" s="13">
        <v>473</v>
      </c>
      <c r="J315" s="13">
        <v>463</v>
      </c>
      <c r="K315" s="13">
        <v>512</v>
      </c>
      <c r="L315" s="13">
        <v>536</v>
      </c>
      <c r="M315" s="13">
        <v>512</v>
      </c>
      <c r="N315" s="13">
        <v>481</v>
      </c>
      <c r="O315" s="13">
        <v>481</v>
      </c>
      <c r="P315" s="4"/>
    </row>
    <row r="316" spans="1:16">
      <c r="D316" s="10" t="s">
        <v>18</v>
      </c>
      <c r="F316" s="13">
        <v>884</v>
      </c>
      <c r="G316" s="13">
        <v>809</v>
      </c>
      <c r="H316" s="13">
        <v>837</v>
      </c>
      <c r="I316" s="13">
        <v>871</v>
      </c>
      <c r="J316" s="13">
        <v>872</v>
      </c>
      <c r="K316" s="13">
        <v>793</v>
      </c>
      <c r="L316" s="13">
        <v>768</v>
      </c>
      <c r="M316" s="13">
        <v>771</v>
      </c>
      <c r="N316" s="13">
        <v>774</v>
      </c>
      <c r="O316" s="13">
        <v>776</v>
      </c>
    </row>
    <row r="317" spans="1:16">
      <c r="D317" s="10" t="s">
        <v>120</v>
      </c>
      <c r="F317" s="13">
        <v>48</v>
      </c>
      <c r="G317" s="13">
        <v>69</v>
      </c>
      <c r="H317" s="13">
        <v>66</v>
      </c>
      <c r="I317" s="13">
        <v>43</v>
      </c>
      <c r="J317" s="13">
        <v>52</v>
      </c>
      <c r="K317" s="13">
        <v>70</v>
      </c>
      <c r="L317" s="13">
        <v>70</v>
      </c>
      <c r="M317" s="13">
        <v>70</v>
      </c>
      <c r="N317" s="13">
        <v>70</v>
      </c>
      <c r="O317" s="13">
        <v>70</v>
      </c>
    </row>
    <row r="318" spans="1:16">
      <c r="D318" s="10" t="s">
        <v>122</v>
      </c>
      <c r="F318" s="13">
        <v>6</v>
      </c>
      <c r="G318" s="13">
        <v>73</v>
      </c>
      <c r="H318" s="13">
        <v>70</v>
      </c>
      <c r="I318" s="13">
        <v>36</v>
      </c>
      <c r="J318" s="13">
        <v>0</v>
      </c>
      <c r="K318" s="13">
        <v>0</v>
      </c>
      <c r="L318" s="13">
        <v>0</v>
      </c>
      <c r="M318" s="13">
        <v>0</v>
      </c>
      <c r="N318" s="13">
        <v>0</v>
      </c>
      <c r="O318" s="13">
        <v>0</v>
      </c>
    </row>
    <row r="319" spans="1:16" ht="17.25" customHeight="1">
      <c r="D319" s="10" t="s">
        <v>53</v>
      </c>
      <c r="F319" s="13">
        <v>103</v>
      </c>
      <c r="G319" s="13">
        <v>143</v>
      </c>
      <c r="H319" s="13">
        <v>115</v>
      </c>
      <c r="I319" s="13">
        <v>81</v>
      </c>
      <c r="J319" s="13">
        <v>70</v>
      </c>
      <c r="K319" s="13">
        <v>67</v>
      </c>
      <c r="L319" s="13">
        <v>66</v>
      </c>
      <c r="M319" s="13">
        <v>59</v>
      </c>
      <c r="N319" s="13">
        <v>62</v>
      </c>
      <c r="O319" s="13">
        <v>47</v>
      </c>
      <c r="P319" s="5"/>
    </row>
    <row r="320" spans="1:16" ht="16.5" thickBot="1">
      <c r="F320" s="45"/>
      <c r="G320" s="45"/>
      <c r="H320" s="45"/>
      <c r="I320" s="45"/>
      <c r="J320" s="45"/>
      <c r="K320" s="45"/>
      <c r="L320" s="45"/>
      <c r="M320" s="45"/>
      <c r="N320" s="45"/>
      <c r="O320" s="45"/>
    </row>
    <row r="321" spans="1:16" s="83" customFormat="1" ht="18" customHeight="1" thickBot="1">
      <c r="A321" s="89"/>
      <c r="B321" s="88"/>
      <c r="C321" s="88"/>
      <c r="D321" s="101" t="s">
        <v>42</v>
      </c>
      <c r="E321" s="101"/>
      <c r="F321" s="86">
        <f t="shared" ref="F321:O321" si="46">SUM(F315:F320)</f>
        <v>1420</v>
      </c>
      <c r="G321" s="86">
        <f t="shared" si="46"/>
        <v>1468</v>
      </c>
      <c r="H321" s="86">
        <f t="shared" si="46"/>
        <v>1537</v>
      </c>
      <c r="I321" s="86">
        <f t="shared" si="46"/>
        <v>1504</v>
      </c>
      <c r="J321" s="86">
        <f t="shared" si="46"/>
        <v>1457</v>
      </c>
      <c r="K321" s="86">
        <f t="shared" si="46"/>
        <v>1442</v>
      </c>
      <c r="L321" s="86">
        <f t="shared" si="46"/>
        <v>1440</v>
      </c>
      <c r="M321" s="86">
        <f t="shared" si="46"/>
        <v>1412</v>
      </c>
      <c r="N321" s="86">
        <f t="shared" ref="N321" si="47">SUM(N315:N320)</f>
        <v>1387</v>
      </c>
      <c r="O321" s="86">
        <f t="shared" si="46"/>
        <v>1374</v>
      </c>
      <c r="P321" s="9"/>
    </row>
    <row r="322" spans="1:16" s="21" customFormat="1">
      <c r="A322" s="89"/>
      <c r="B322" s="22"/>
      <c r="C322" s="22"/>
      <c r="D322" s="63"/>
      <c r="E322" s="63"/>
      <c r="F322" s="16"/>
      <c r="G322" s="16"/>
      <c r="H322" s="16"/>
      <c r="I322" s="16"/>
      <c r="J322" s="16"/>
      <c r="K322" s="16"/>
      <c r="L322" s="16"/>
      <c r="M322" s="16"/>
      <c r="N322" s="16"/>
      <c r="O322" s="16"/>
      <c r="P322" s="1"/>
    </row>
    <row r="323" spans="1:16">
      <c r="D323" s="10" t="s">
        <v>192</v>
      </c>
      <c r="E323" s="63"/>
      <c r="F323" s="16"/>
      <c r="G323" s="16"/>
      <c r="H323" s="16"/>
      <c r="I323" s="16"/>
      <c r="J323" s="16"/>
      <c r="K323" s="16"/>
      <c r="L323" s="16"/>
      <c r="M323" s="16"/>
      <c r="N323" s="16"/>
      <c r="O323" s="16"/>
    </row>
    <row r="324" spans="1:16" s="25" customFormat="1">
      <c r="A324" s="89"/>
      <c r="B324" s="22"/>
      <c r="C324" s="22"/>
      <c r="D324" s="63"/>
      <c r="E324" s="63"/>
      <c r="F324" s="16"/>
      <c r="G324" s="16"/>
      <c r="H324" s="16"/>
      <c r="I324" s="16"/>
      <c r="J324" s="16"/>
      <c r="K324" s="16"/>
      <c r="L324" s="16"/>
      <c r="M324" s="16"/>
      <c r="N324" s="16"/>
      <c r="O324" s="16"/>
      <c r="P324" s="1"/>
    </row>
    <row r="325" spans="1:16" ht="18">
      <c r="D325" s="66" t="s">
        <v>229</v>
      </c>
      <c r="E325" s="63"/>
      <c r="F325" s="16"/>
      <c r="G325" s="16"/>
      <c r="H325" s="16"/>
      <c r="I325" s="16"/>
      <c r="J325" s="16"/>
      <c r="K325" s="16"/>
      <c r="L325" s="16"/>
      <c r="M325" s="16"/>
      <c r="N325" s="16"/>
      <c r="O325" s="16"/>
    </row>
    <row r="326" spans="1:16">
      <c r="D326" s="63"/>
      <c r="E326" s="63"/>
      <c r="F326" s="16"/>
      <c r="G326" s="16"/>
      <c r="H326" s="16"/>
      <c r="I326" s="16"/>
      <c r="J326" s="16"/>
      <c r="K326" s="16"/>
      <c r="L326" s="16"/>
      <c r="M326" s="16"/>
      <c r="N326" s="16"/>
      <c r="O326" s="16"/>
    </row>
    <row r="327" spans="1:16" ht="18" customHeight="1">
      <c r="A327" s="89" t="s">
        <v>102</v>
      </c>
      <c r="D327" s="20" t="s">
        <v>62</v>
      </c>
      <c r="E327" s="20"/>
      <c r="P327" s="3"/>
    </row>
    <row r="328" spans="1:16">
      <c r="B328" s="69"/>
      <c r="D328" s="20"/>
      <c r="E328" s="21"/>
      <c r="F328" s="15" t="str">
        <f t="shared" ref="F328:O328" si="48">F$35</f>
        <v>2021</v>
      </c>
      <c r="G328" s="15" t="str">
        <f t="shared" si="48"/>
        <v>2022</v>
      </c>
      <c r="H328" s="15" t="str">
        <f t="shared" si="48"/>
        <v>2023</v>
      </c>
      <c r="I328" s="15" t="str">
        <f t="shared" si="48"/>
        <v>2024</v>
      </c>
      <c r="J328" s="15" t="str">
        <f t="shared" si="48"/>
        <v>2025</v>
      </c>
      <c r="K328" s="15" t="str">
        <f t="shared" si="48"/>
        <v>2026</v>
      </c>
      <c r="L328" s="15" t="str">
        <f t="shared" si="48"/>
        <v>2027</v>
      </c>
      <c r="M328" s="15" t="str">
        <f t="shared" si="48"/>
        <v>2028</v>
      </c>
      <c r="N328" s="15" t="str">
        <f t="shared" si="48"/>
        <v>2029</v>
      </c>
      <c r="O328" s="15" t="str">
        <f t="shared" si="48"/>
        <v>2030</v>
      </c>
    </row>
    <row r="329" spans="1:16">
      <c r="C329" s="69"/>
      <c r="D329" s="63" t="s">
        <v>60</v>
      </c>
      <c r="E329" s="26"/>
      <c r="F329" s="44" t="s">
        <v>0</v>
      </c>
      <c r="G329" s="44" t="s">
        <v>0</v>
      </c>
      <c r="H329" s="44" t="s">
        <v>0</v>
      </c>
      <c r="I329" s="44" t="s">
        <v>0</v>
      </c>
      <c r="J329" s="48" t="str">
        <f>$J$54</f>
        <v>Actual</v>
      </c>
      <c r="K329" s="44" t="s">
        <v>1</v>
      </c>
      <c r="L329" s="44" t="s">
        <v>1</v>
      </c>
      <c r="M329" s="44" t="s">
        <v>1</v>
      </c>
      <c r="N329" s="44" t="s">
        <v>1</v>
      </c>
      <c r="O329" s="44" t="s">
        <v>1</v>
      </c>
      <c r="P329" s="70"/>
    </row>
    <row r="330" spans="1:16">
      <c r="N330" s="10"/>
      <c r="O330" s="10"/>
      <c r="P330" s="4"/>
    </row>
    <row r="331" spans="1:16">
      <c r="D331" s="10" t="s">
        <v>2</v>
      </c>
      <c r="F331" s="13">
        <v>691</v>
      </c>
      <c r="G331" s="13">
        <v>724</v>
      </c>
      <c r="H331" s="13">
        <v>788</v>
      </c>
      <c r="I331" s="13">
        <v>775</v>
      </c>
      <c r="J331" s="13">
        <v>740</v>
      </c>
      <c r="K331" s="13">
        <v>905</v>
      </c>
      <c r="L331" s="13">
        <v>901</v>
      </c>
      <c r="M331" s="13">
        <v>891</v>
      </c>
      <c r="N331" s="13">
        <v>892</v>
      </c>
      <c r="O331" s="13">
        <v>881</v>
      </c>
      <c r="P331" s="4"/>
    </row>
    <row r="332" spans="1:16">
      <c r="D332" s="10" t="s">
        <v>18</v>
      </c>
      <c r="F332" s="13">
        <v>178</v>
      </c>
      <c r="G332" s="13">
        <v>106</v>
      </c>
      <c r="H332" s="13">
        <v>149</v>
      </c>
      <c r="I332" s="13">
        <v>131</v>
      </c>
      <c r="J332" s="13">
        <v>114</v>
      </c>
      <c r="K332" s="13">
        <v>128</v>
      </c>
      <c r="L332" s="13">
        <v>192</v>
      </c>
      <c r="M332" s="13">
        <v>143</v>
      </c>
      <c r="N332" s="13">
        <v>129</v>
      </c>
      <c r="O332" s="13">
        <v>195</v>
      </c>
      <c r="P332" s="4"/>
    </row>
    <row r="333" spans="1:16" ht="18.75">
      <c r="D333" s="10" t="s">
        <v>53</v>
      </c>
      <c r="F333" s="13">
        <v>146</v>
      </c>
      <c r="G333" s="13">
        <v>119</v>
      </c>
      <c r="H333" s="13">
        <v>219</v>
      </c>
      <c r="I333" s="13">
        <v>156</v>
      </c>
      <c r="J333" s="13">
        <v>142</v>
      </c>
      <c r="K333" s="13">
        <v>268</v>
      </c>
      <c r="L333" s="13">
        <v>111</v>
      </c>
      <c r="M333" s="13">
        <v>91</v>
      </c>
      <c r="N333" s="13">
        <v>91</v>
      </c>
      <c r="O333" s="13">
        <v>90</v>
      </c>
      <c r="P333" s="5"/>
    </row>
    <row r="334" spans="1:16" ht="16.5" thickBot="1">
      <c r="F334" s="45"/>
      <c r="G334" s="45"/>
      <c r="H334" s="45"/>
      <c r="I334" s="45"/>
      <c r="J334" s="45"/>
      <c r="K334" s="45"/>
      <c r="L334" s="45"/>
      <c r="M334" s="45"/>
      <c r="N334" s="61"/>
      <c r="O334" s="61"/>
    </row>
    <row r="335" spans="1:16" s="83" customFormat="1" ht="17.25" customHeight="1" thickBot="1">
      <c r="A335" s="89"/>
      <c r="B335" s="88"/>
      <c r="C335" s="88"/>
      <c r="D335" s="101" t="s">
        <v>62</v>
      </c>
      <c r="E335" s="101"/>
      <c r="F335" s="86">
        <f t="shared" ref="F335:O335" si="49">SUM(F331:F334)</f>
        <v>1015</v>
      </c>
      <c r="G335" s="86">
        <f t="shared" si="49"/>
        <v>949</v>
      </c>
      <c r="H335" s="86">
        <f t="shared" si="49"/>
        <v>1156</v>
      </c>
      <c r="I335" s="86">
        <f t="shared" si="49"/>
        <v>1062</v>
      </c>
      <c r="J335" s="86">
        <f t="shared" si="49"/>
        <v>996</v>
      </c>
      <c r="K335" s="86">
        <f t="shared" si="49"/>
        <v>1301</v>
      </c>
      <c r="L335" s="86">
        <f t="shared" si="49"/>
        <v>1204</v>
      </c>
      <c r="M335" s="86">
        <f t="shared" si="49"/>
        <v>1125</v>
      </c>
      <c r="N335" s="86">
        <f t="shared" ref="N335" si="50">SUM(N331:N334)</f>
        <v>1112</v>
      </c>
      <c r="O335" s="86">
        <f t="shared" si="49"/>
        <v>1166</v>
      </c>
      <c r="P335" s="9"/>
    </row>
    <row r="336" spans="1:16">
      <c r="P336" s="6"/>
    </row>
    <row r="337" spans="1:16" s="21" customFormat="1">
      <c r="A337" s="89"/>
      <c r="B337" s="22"/>
      <c r="C337" s="22"/>
      <c r="D337" s="7" t="s">
        <v>215</v>
      </c>
      <c r="E337" s="56"/>
      <c r="F337" s="56"/>
      <c r="G337" s="56"/>
      <c r="H337" s="56"/>
      <c r="I337" s="56"/>
      <c r="J337" s="56"/>
      <c r="K337" s="56"/>
      <c r="L337" s="56"/>
      <c r="M337" s="56"/>
      <c r="N337" s="56"/>
      <c r="O337" s="56"/>
      <c r="P337" s="1"/>
    </row>
    <row r="338" spans="1:16">
      <c r="E338" s="56"/>
      <c r="F338" s="56"/>
      <c r="G338" s="56"/>
      <c r="H338" s="56"/>
      <c r="I338" s="56"/>
      <c r="J338" s="56"/>
      <c r="K338" s="56"/>
      <c r="L338" s="56"/>
      <c r="M338" s="56"/>
      <c r="N338" s="56"/>
      <c r="O338" s="56"/>
    </row>
    <row r="339" spans="1:16" ht="15" customHeight="1">
      <c r="D339" s="66" t="s">
        <v>229</v>
      </c>
      <c r="E339" s="56"/>
      <c r="F339" s="56"/>
      <c r="G339" s="56"/>
      <c r="H339" s="56"/>
      <c r="I339" s="56"/>
      <c r="J339" s="56"/>
      <c r="K339" s="56"/>
      <c r="L339" s="56"/>
      <c r="M339" s="56"/>
      <c r="N339" s="56"/>
      <c r="O339" s="56"/>
    </row>
    <row r="340" spans="1:16">
      <c r="D340" s="20"/>
      <c r="E340" s="21"/>
      <c r="F340" s="14"/>
      <c r="G340" s="14"/>
      <c r="H340" s="14"/>
      <c r="I340" s="14"/>
      <c r="J340" s="14"/>
      <c r="K340" s="14"/>
      <c r="L340" s="14"/>
      <c r="M340" s="14"/>
      <c r="N340" s="14"/>
      <c r="O340" s="14"/>
    </row>
    <row r="341" spans="1:16">
      <c r="A341" s="89" t="s">
        <v>103</v>
      </c>
      <c r="D341" s="20" t="s">
        <v>43</v>
      </c>
      <c r="E341" s="20"/>
      <c r="P341" s="3"/>
    </row>
    <row r="342" spans="1:16">
      <c r="B342" s="69"/>
      <c r="D342" s="20"/>
      <c r="E342" s="21"/>
      <c r="F342" s="15" t="str">
        <f t="shared" ref="F342:O342" si="51">F$35</f>
        <v>2021</v>
      </c>
      <c r="G342" s="15" t="str">
        <f t="shared" si="51"/>
        <v>2022</v>
      </c>
      <c r="H342" s="15" t="str">
        <f t="shared" si="51"/>
        <v>2023</v>
      </c>
      <c r="I342" s="15" t="str">
        <f t="shared" si="51"/>
        <v>2024</v>
      </c>
      <c r="J342" s="15" t="str">
        <f t="shared" si="51"/>
        <v>2025</v>
      </c>
      <c r="K342" s="15" t="str">
        <f t="shared" si="51"/>
        <v>2026</v>
      </c>
      <c r="L342" s="15" t="str">
        <f t="shared" si="51"/>
        <v>2027</v>
      </c>
      <c r="M342" s="15" t="str">
        <f t="shared" si="51"/>
        <v>2028</v>
      </c>
      <c r="N342" s="15" t="str">
        <f t="shared" si="51"/>
        <v>2029</v>
      </c>
      <c r="O342" s="15" t="str">
        <f t="shared" si="51"/>
        <v>2030</v>
      </c>
      <c r="P342" s="3"/>
    </row>
    <row r="343" spans="1:16">
      <c r="C343" s="69"/>
      <c r="D343" s="63" t="s">
        <v>60</v>
      </c>
      <c r="E343" s="26"/>
      <c r="F343" s="44" t="s">
        <v>0</v>
      </c>
      <c r="G343" s="44" t="s">
        <v>0</v>
      </c>
      <c r="H343" s="44" t="s">
        <v>0</v>
      </c>
      <c r="I343" s="44" t="s">
        <v>0</v>
      </c>
      <c r="J343" s="48" t="str">
        <f>$J$54</f>
        <v>Actual</v>
      </c>
      <c r="K343" s="44" t="s">
        <v>1</v>
      </c>
      <c r="L343" s="44" t="s">
        <v>1</v>
      </c>
      <c r="M343" s="44" t="s">
        <v>1</v>
      </c>
      <c r="N343" s="44" t="s">
        <v>1</v>
      </c>
      <c r="O343" s="44" t="s">
        <v>1</v>
      </c>
      <c r="P343" s="82"/>
    </row>
    <row r="344" spans="1:16">
      <c r="D344" s="20"/>
      <c r="E344" s="21"/>
      <c r="F344" s="19"/>
      <c r="G344" s="19"/>
      <c r="H344" s="19"/>
      <c r="I344" s="19"/>
      <c r="J344" s="19"/>
      <c r="K344" s="19"/>
      <c r="L344" s="19"/>
      <c r="M344" s="19"/>
      <c r="N344" s="10"/>
      <c r="O344" s="10"/>
      <c r="P344" s="4"/>
    </row>
    <row r="345" spans="1:16">
      <c r="D345" s="10" t="s">
        <v>7</v>
      </c>
      <c r="F345" s="13">
        <v>237</v>
      </c>
      <c r="G345" s="13">
        <v>255</v>
      </c>
      <c r="H345" s="13">
        <v>259</v>
      </c>
      <c r="I345" s="13">
        <v>286</v>
      </c>
      <c r="J345" s="13">
        <v>279</v>
      </c>
      <c r="K345" s="13">
        <v>293</v>
      </c>
      <c r="L345" s="13">
        <v>302</v>
      </c>
      <c r="M345" s="13">
        <v>301</v>
      </c>
      <c r="N345" s="13">
        <v>276</v>
      </c>
      <c r="O345" s="13">
        <v>266</v>
      </c>
      <c r="P345" s="7">
        <v>231</v>
      </c>
    </row>
    <row r="346" spans="1:16">
      <c r="D346" s="10" t="s">
        <v>133</v>
      </c>
      <c r="F346" s="13">
        <v>349</v>
      </c>
      <c r="G346" s="13">
        <v>438</v>
      </c>
      <c r="H346" s="13">
        <v>477</v>
      </c>
      <c r="I346" s="13">
        <v>396</v>
      </c>
      <c r="J346" s="13">
        <v>436</v>
      </c>
      <c r="K346" s="13">
        <v>438</v>
      </c>
      <c r="L346" s="13">
        <v>434</v>
      </c>
      <c r="M346" s="13">
        <v>417</v>
      </c>
      <c r="N346" s="13">
        <v>416</v>
      </c>
      <c r="O346" s="13">
        <v>416</v>
      </c>
      <c r="P346" s="4">
        <v>398</v>
      </c>
    </row>
    <row r="347" spans="1:16">
      <c r="D347" s="10" t="s">
        <v>109</v>
      </c>
      <c r="F347" s="13">
        <v>0</v>
      </c>
      <c r="G347" s="13">
        <v>22</v>
      </c>
      <c r="H347" s="13">
        <v>30</v>
      </c>
      <c r="I347" s="13">
        <v>78</v>
      </c>
      <c r="J347" s="13">
        <v>157</v>
      </c>
      <c r="K347" s="13">
        <v>157</v>
      </c>
      <c r="L347" s="13">
        <v>239</v>
      </c>
      <c r="M347" s="13">
        <v>259</v>
      </c>
      <c r="N347" s="13">
        <v>241</v>
      </c>
      <c r="O347" s="13">
        <v>121</v>
      </c>
      <c r="P347" s="9">
        <v>186</v>
      </c>
    </row>
    <row r="348" spans="1:16" ht="18.75">
      <c r="D348" s="10" t="s">
        <v>150</v>
      </c>
      <c r="F348" s="13">
        <v>253</v>
      </c>
      <c r="G348" s="13">
        <v>324</v>
      </c>
      <c r="H348" s="13">
        <v>318</v>
      </c>
      <c r="I348" s="13">
        <v>360</v>
      </c>
      <c r="J348" s="13">
        <v>354</v>
      </c>
      <c r="K348" s="13">
        <v>346</v>
      </c>
      <c r="L348" s="13">
        <v>359</v>
      </c>
      <c r="M348" s="13">
        <v>328</v>
      </c>
      <c r="N348" s="13">
        <v>300</v>
      </c>
      <c r="O348" s="13">
        <v>314</v>
      </c>
      <c r="P348" s="9"/>
    </row>
    <row r="349" spans="1:16">
      <c r="D349" s="10" t="s">
        <v>132</v>
      </c>
      <c r="F349" s="13">
        <v>267</v>
      </c>
      <c r="G349" s="13">
        <v>239</v>
      </c>
      <c r="H349" s="13">
        <v>301</v>
      </c>
      <c r="I349" s="13">
        <v>319</v>
      </c>
      <c r="J349" s="13">
        <v>94</v>
      </c>
      <c r="K349" s="13">
        <v>127</v>
      </c>
      <c r="L349" s="13">
        <v>35</v>
      </c>
      <c r="M349" s="13">
        <v>5</v>
      </c>
      <c r="N349" s="13">
        <v>5</v>
      </c>
      <c r="O349" s="13">
        <v>5</v>
      </c>
      <c r="P349" s="9">
        <v>0</v>
      </c>
    </row>
    <row r="350" spans="1:16">
      <c r="D350" s="10" t="s">
        <v>123</v>
      </c>
      <c r="F350" s="13">
        <v>46</v>
      </c>
      <c r="G350" s="13">
        <v>35</v>
      </c>
      <c r="H350" s="13">
        <v>39</v>
      </c>
      <c r="I350" s="13">
        <v>46</v>
      </c>
      <c r="J350" s="13">
        <v>58</v>
      </c>
      <c r="K350" s="13">
        <v>21</v>
      </c>
      <c r="L350" s="13">
        <v>8</v>
      </c>
      <c r="M350" s="13">
        <v>0</v>
      </c>
      <c r="N350" s="13">
        <v>0</v>
      </c>
      <c r="O350" s="13">
        <v>0</v>
      </c>
      <c r="P350" s="9">
        <v>0</v>
      </c>
    </row>
    <row r="351" spans="1:16">
      <c r="D351" s="10" t="s">
        <v>151</v>
      </c>
      <c r="F351" s="13">
        <v>99</v>
      </c>
      <c r="G351" s="13">
        <v>62</v>
      </c>
      <c r="H351" s="13">
        <v>34</v>
      </c>
      <c r="I351" s="13">
        <v>1</v>
      </c>
      <c r="J351" s="13">
        <v>76</v>
      </c>
      <c r="K351" s="13">
        <v>83</v>
      </c>
      <c r="L351" s="13">
        <v>100</v>
      </c>
      <c r="M351" s="13">
        <v>0</v>
      </c>
      <c r="N351" s="13">
        <v>0</v>
      </c>
      <c r="O351" s="13">
        <v>0</v>
      </c>
      <c r="P351" s="9"/>
    </row>
    <row r="352" spans="1:16">
      <c r="D352" s="10" t="s">
        <v>3</v>
      </c>
      <c r="F352" s="13">
        <v>522</v>
      </c>
      <c r="G352" s="13">
        <v>601</v>
      </c>
      <c r="H352" s="13">
        <v>681</v>
      </c>
      <c r="I352" s="13">
        <v>869</v>
      </c>
      <c r="J352" s="13">
        <v>658</v>
      </c>
      <c r="K352" s="13">
        <v>310</v>
      </c>
      <c r="L352" s="13">
        <v>381</v>
      </c>
      <c r="M352" s="13">
        <v>494</v>
      </c>
      <c r="N352" s="13">
        <v>663</v>
      </c>
      <c r="O352" s="13">
        <v>519</v>
      </c>
      <c r="P352" s="9">
        <v>1203</v>
      </c>
    </row>
    <row r="353" spans="1:16" ht="18.75">
      <c r="D353" s="10" t="s">
        <v>149</v>
      </c>
      <c r="E353" s="58"/>
      <c r="F353" s="13">
        <v>40</v>
      </c>
      <c r="G353" s="13">
        <v>57</v>
      </c>
      <c r="H353" s="13">
        <v>173</v>
      </c>
      <c r="I353" s="13">
        <v>157</v>
      </c>
      <c r="J353" s="13">
        <v>38</v>
      </c>
      <c r="K353" s="13">
        <v>437</v>
      </c>
      <c r="L353" s="13">
        <v>147</v>
      </c>
      <c r="M353" s="13">
        <v>96</v>
      </c>
      <c r="N353" s="13">
        <v>94</v>
      </c>
      <c r="O353" s="13">
        <v>95</v>
      </c>
    </row>
    <row r="354" spans="1:16" ht="16.5" thickBot="1">
      <c r="F354" s="45"/>
      <c r="G354" s="45"/>
      <c r="H354" s="45"/>
      <c r="I354" s="45"/>
      <c r="J354" s="45"/>
      <c r="K354" s="45"/>
      <c r="L354" s="45"/>
      <c r="M354" s="45"/>
      <c r="N354" s="61"/>
      <c r="O354" s="61"/>
    </row>
    <row r="355" spans="1:16" s="83" customFormat="1" ht="18" customHeight="1" thickBot="1">
      <c r="A355" s="89"/>
      <c r="B355" s="88"/>
      <c r="C355" s="88"/>
      <c r="D355" s="101" t="s">
        <v>43</v>
      </c>
      <c r="E355" s="101"/>
      <c r="F355" s="86">
        <f t="shared" ref="F355:O355" si="52">SUM(F345:F353)</f>
        <v>1813</v>
      </c>
      <c r="G355" s="86">
        <f t="shared" si="52"/>
        <v>2033</v>
      </c>
      <c r="H355" s="86">
        <f t="shared" si="52"/>
        <v>2312</v>
      </c>
      <c r="I355" s="86">
        <f t="shared" si="52"/>
        <v>2512</v>
      </c>
      <c r="J355" s="86">
        <f t="shared" si="52"/>
        <v>2150</v>
      </c>
      <c r="K355" s="86">
        <f t="shared" si="52"/>
        <v>2212</v>
      </c>
      <c r="L355" s="86">
        <f t="shared" si="52"/>
        <v>2005</v>
      </c>
      <c r="M355" s="86">
        <f t="shared" si="52"/>
        <v>1900</v>
      </c>
      <c r="N355" s="86">
        <f t="shared" ref="N355" si="53">SUM(N345:N353)</f>
        <v>1995</v>
      </c>
      <c r="O355" s="86">
        <f t="shared" si="52"/>
        <v>1736</v>
      </c>
      <c r="P355" s="9"/>
    </row>
    <row r="356" spans="1:16" s="21" customFormat="1">
      <c r="A356" s="89"/>
      <c r="B356" s="22"/>
      <c r="C356" s="22"/>
      <c r="D356" s="10"/>
      <c r="E356" s="10"/>
      <c r="F356" s="12"/>
      <c r="G356" s="12"/>
      <c r="H356" s="12"/>
      <c r="I356" s="12"/>
      <c r="J356" s="12"/>
      <c r="K356" s="12"/>
      <c r="L356" s="12"/>
      <c r="M356" s="12"/>
      <c r="N356" s="12"/>
      <c r="O356" s="12"/>
      <c r="P356" s="6"/>
    </row>
    <row r="357" spans="1:16">
      <c r="D357" s="10" t="s">
        <v>152</v>
      </c>
      <c r="E357" s="56"/>
      <c r="F357" s="56"/>
      <c r="G357" s="56"/>
      <c r="H357" s="56"/>
      <c r="I357" s="56"/>
      <c r="J357" s="56"/>
      <c r="K357" s="56"/>
      <c r="L357" s="56"/>
      <c r="M357" s="56"/>
      <c r="N357" s="56"/>
      <c r="O357" s="56"/>
    </row>
    <row r="358" spans="1:16" s="25" customFormat="1">
      <c r="A358" s="89"/>
      <c r="B358" s="22"/>
      <c r="C358" s="22"/>
      <c r="D358" s="10" t="s">
        <v>178</v>
      </c>
      <c r="E358" s="56"/>
      <c r="F358" s="56"/>
      <c r="G358" s="56"/>
      <c r="H358" s="56"/>
      <c r="I358" s="56"/>
      <c r="J358" s="56"/>
      <c r="K358" s="56"/>
      <c r="L358" s="56"/>
      <c r="M358" s="56"/>
      <c r="N358" s="56"/>
      <c r="O358" s="56"/>
      <c r="P358" s="1"/>
    </row>
    <row r="359" spans="1:16">
      <c r="E359" s="56"/>
      <c r="F359" s="56"/>
      <c r="G359" s="56"/>
      <c r="H359" s="56"/>
      <c r="I359" s="56"/>
      <c r="J359" s="56"/>
      <c r="K359" s="56"/>
      <c r="L359" s="56"/>
      <c r="M359" s="56"/>
      <c r="N359" s="56"/>
      <c r="O359" s="56"/>
    </row>
    <row r="360" spans="1:16" ht="18">
      <c r="D360" s="66" t="s">
        <v>229</v>
      </c>
      <c r="E360" s="56"/>
      <c r="F360" s="56"/>
      <c r="G360" s="56"/>
      <c r="H360" s="56"/>
      <c r="I360" s="56"/>
      <c r="J360" s="56"/>
      <c r="K360" s="56"/>
      <c r="L360" s="56"/>
      <c r="M360" s="56"/>
      <c r="N360" s="56"/>
      <c r="O360" s="56"/>
    </row>
    <row r="361" spans="1:16">
      <c r="E361" s="56"/>
      <c r="F361" s="56"/>
      <c r="G361" s="56"/>
      <c r="H361" s="56"/>
      <c r="I361" s="56"/>
      <c r="J361" s="56"/>
      <c r="K361" s="56"/>
      <c r="L361" s="56"/>
      <c r="M361" s="56"/>
      <c r="N361" s="56"/>
      <c r="O361" s="56"/>
    </row>
    <row r="362" spans="1:16">
      <c r="A362" s="89" t="s">
        <v>104</v>
      </c>
      <c r="D362" s="20" t="s">
        <v>59</v>
      </c>
      <c r="E362" s="20"/>
      <c r="P362" s="3"/>
    </row>
    <row r="363" spans="1:16">
      <c r="B363" s="69"/>
      <c r="D363" s="20"/>
      <c r="E363" s="21"/>
      <c r="F363" s="15" t="str">
        <f t="shared" ref="F363:O363" si="54">F$35</f>
        <v>2021</v>
      </c>
      <c r="G363" s="15" t="str">
        <f t="shared" si="54"/>
        <v>2022</v>
      </c>
      <c r="H363" s="15" t="str">
        <f t="shared" si="54"/>
        <v>2023</v>
      </c>
      <c r="I363" s="15" t="str">
        <f t="shared" si="54"/>
        <v>2024</v>
      </c>
      <c r="J363" s="15" t="str">
        <f t="shared" si="54"/>
        <v>2025</v>
      </c>
      <c r="K363" s="15" t="str">
        <f t="shared" si="54"/>
        <v>2026</v>
      </c>
      <c r="L363" s="15" t="str">
        <f t="shared" si="54"/>
        <v>2027</v>
      </c>
      <c r="M363" s="15" t="str">
        <f t="shared" si="54"/>
        <v>2028</v>
      </c>
      <c r="N363" s="15" t="str">
        <f t="shared" si="54"/>
        <v>2029</v>
      </c>
      <c r="O363" s="15" t="str">
        <f t="shared" si="54"/>
        <v>2030</v>
      </c>
    </row>
    <row r="364" spans="1:16">
      <c r="D364" s="63" t="s">
        <v>60</v>
      </c>
      <c r="E364" s="26"/>
      <c r="F364" s="44" t="s">
        <v>0</v>
      </c>
      <c r="G364" s="44" t="s">
        <v>0</v>
      </c>
      <c r="H364" s="44" t="s">
        <v>0</v>
      </c>
      <c r="I364" s="44" t="s">
        <v>0</v>
      </c>
      <c r="J364" s="48" t="str">
        <f>$J$54</f>
        <v>Actual</v>
      </c>
      <c r="K364" s="44" t="s">
        <v>1</v>
      </c>
      <c r="L364" s="44" t="s">
        <v>1</v>
      </c>
      <c r="M364" s="44" t="s">
        <v>1</v>
      </c>
      <c r="N364" s="44" t="s">
        <v>1</v>
      </c>
      <c r="O364" s="44" t="s">
        <v>1</v>
      </c>
      <c r="P364" s="82"/>
    </row>
    <row r="365" spans="1:16">
      <c r="C365" s="69"/>
      <c r="N365" s="10"/>
      <c r="O365" s="10"/>
      <c r="P365" s="4"/>
    </row>
    <row r="366" spans="1:16" ht="17.25" customHeight="1" collapsed="1">
      <c r="D366" s="10" t="s">
        <v>179</v>
      </c>
      <c r="F366" s="13">
        <v>947</v>
      </c>
      <c r="G366" s="13">
        <v>1540</v>
      </c>
      <c r="H366" s="13">
        <v>1215</v>
      </c>
      <c r="I366" s="13">
        <v>894</v>
      </c>
      <c r="J366" s="13">
        <v>1111</v>
      </c>
      <c r="K366" s="13">
        <v>923</v>
      </c>
      <c r="L366" s="13">
        <v>939</v>
      </c>
      <c r="M366" s="13">
        <v>992</v>
      </c>
      <c r="N366" s="13">
        <v>1032</v>
      </c>
      <c r="O366" s="13">
        <v>1062</v>
      </c>
      <c r="P366" s="4"/>
    </row>
    <row r="367" spans="1:16">
      <c r="D367" s="10" t="s">
        <v>7</v>
      </c>
      <c r="F367" s="13">
        <v>614</v>
      </c>
      <c r="G367" s="13">
        <v>690</v>
      </c>
      <c r="H367" s="13">
        <v>776</v>
      </c>
      <c r="I367" s="13">
        <v>845</v>
      </c>
      <c r="J367" s="13">
        <v>787</v>
      </c>
      <c r="K367" s="13">
        <v>826</v>
      </c>
      <c r="L367" s="13">
        <v>880</v>
      </c>
      <c r="M367" s="13">
        <v>818</v>
      </c>
      <c r="N367" s="13">
        <v>779</v>
      </c>
      <c r="O367" s="13">
        <v>780</v>
      </c>
      <c r="P367" s="4"/>
    </row>
    <row r="368" spans="1:16">
      <c r="D368" s="10" t="s">
        <v>18</v>
      </c>
      <c r="F368" s="13">
        <v>318</v>
      </c>
      <c r="G368" s="13">
        <v>170</v>
      </c>
      <c r="H368" s="13">
        <v>165</v>
      </c>
      <c r="I368" s="13">
        <v>354</v>
      </c>
      <c r="J368" s="13">
        <v>406</v>
      </c>
      <c r="K368" s="13">
        <v>439</v>
      </c>
      <c r="L368" s="13">
        <v>550</v>
      </c>
      <c r="M368" s="13">
        <v>488</v>
      </c>
      <c r="N368" s="13">
        <v>462</v>
      </c>
      <c r="O368" s="13">
        <v>347</v>
      </c>
    </row>
    <row r="369" spans="1:16">
      <c r="D369" s="10" t="s">
        <v>119</v>
      </c>
      <c r="F369" s="13">
        <v>0</v>
      </c>
      <c r="G369" s="13">
        <v>128</v>
      </c>
      <c r="H369" s="13">
        <v>203</v>
      </c>
      <c r="I369" s="13">
        <v>116</v>
      </c>
      <c r="J369" s="13">
        <v>0</v>
      </c>
      <c r="K369" s="13">
        <v>0</v>
      </c>
      <c r="L369" s="13">
        <v>0</v>
      </c>
      <c r="M369" s="13">
        <v>0</v>
      </c>
      <c r="N369" s="13">
        <v>0</v>
      </c>
      <c r="O369" s="13">
        <v>0</v>
      </c>
    </row>
    <row r="370" spans="1:16" ht="17.25" customHeight="1">
      <c r="D370" s="10" t="s">
        <v>173</v>
      </c>
      <c r="F370" s="13">
        <v>0</v>
      </c>
      <c r="G370" s="13">
        <v>0</v>
      </c>
      <c r="H370" s="13">
        <v>2</v>
      </c>
      <c r="I370" s="13">
        <v>42</v>
      </c>
      <c r="J370" s="13">
        <v>90</v>
      </c>
      <c r="K370" s="13">
        <v>114</v>
      </c>
      <c r="L370" s="13">
        <v>34</v>
      </c>
      <c r="M370" s="13">
        <v>0</v>
      </c>
      <c r="N370" s="13">
        <v>0</v>
      </c>
      <c r="O370" s="13">
        <v>0</v>
      </c>
    </row>
    <row r="371" spans="1:16" ht="18.75">
      <c r="D371" s="10" t="s">
        <v>53</v>
      </c>
      <c r="F371" s="13">
        <v>27</v>
      </c>
      <c r="G371" s="13">
        <v>21</v>
      </c>
      <c r="H371" s="13">
        <v>20</v>
      </c>
      <c r="I371" s="13">
        <v>46</v>
      </c>
      <c r="J371" s="13">
        <v>16</v>
      </c>
      <c r="K371" s="13">
        <v>80</v>
      </c>
      <c r="L371" s="13">
        <v>18</v>
      </c>
      <c r="M371" s="13">
        <v>19</v>
      </c>
      <c r="N371" s="13">
        <v>11</v>
      </c>
      <c r="O371" s="13">
        <v>12</v>
      </c>
      <c r="P371" s="5"/>
    </row>
    <row r="372" spans="1:16" ht="16.5" thickBot="1">
      <c r="F372" s="45"/>
      <c r="G372" s="45"/>
      <c r="H372" s="45"/>
      <c r="I372" s="45"/>
      <c r="J372" s="45"/>
      <c r="K372" s="45"/>
      <c r="L372" s="45"/>
      <c r="M372" s="45"/>
      <c r="N372" s="61"/>
      <c r="O372" s="61"/>
    </row>
    <row r="373" spans="1:16" s="83" customFormat="1" ht="18" customHeight="1" thickBot="1">
      <c r="A373" s="89"/>
      <c r="B373" s="88"/>
      <c r="C373" s="88"/>
      <c r="D373" s="101" t="s">
        <v>59</v>
      </c>
      <c r="E373" s="101"/>
      <c r="F373" s="86">
        <f t="shared" ref="F373:O373" si="55">SUM(F366:F372)</f>
        <v>1906</v>
      </c>
      <c r="G373" s="86">
        <f t="shared" si="55"/>
        <v>2549</v>
      </c>
      <c r="H373" s="86">
        <f t="shared" si="55"/>
        <v>2381</v>
      </c>
      <c r="I373" s="86">
        <f t="shared" si="55"/>
        <v>2297</v>
      </c>
      <c r="J373" s="86">
        <f t="shared" si="55"/>
        <v>2410</v>
      </c>
      <c r="K373" s="86">
        <f t="shared" si="55"/>
        <v>2382</v>
      </c>
      <c r="L373" s="86">
        <f t="shared" si="55"/>
        <v>2421</v>
      </c>
      <c r="M373" s="86">
        <f t="shared" si="55"/>
        <v>2317</v>
      </c>
      <c r="N373" s="86">
        <f t="shared" ref="N373" si="56">SUM(N366:N372)</f>
        <v>2284</v>
      </c>
      <c r="O373" s="86">
        <f t="shared" si="55"/>
        <v>2201</v>
      </c>
      <c r="P373" s="9"/>
    </row>
    <row r="374" spans="1:16" s="25" customFormat="1">
      <c r="A374" s="89"/>
      <c r="B374" s="22"/>
      <c r="C374" s="22"/>
      <c r="D374" s="10"/>
      <c r="E374" s="10"/>
      <c r="F374" s="12"/>
      <c r="G374" s="12"/>
      <c r="H374" s="12"/>
      <c r="I374" s="12"/>
      <c r="J374" s="12"/>
      <c r="K374" s="12"/>
      <c r="L374" s="12"/>
      <c r="M374" s="12"/>
      <c r="N374" s="12"/>
      <c r="O374" s="12"/>
      <c r="P374" s="6"/>
    </row>
    <row r="375" spans="1:16">
      <c r="D375" s="10" t="s">
        <v>180</v>
      </c>
      <c r="E375" s="56"/>
      <c r="F375" s="56"/>
      <c r="G375" s="56"/>
      <c r="H375" s="56"/>
      <c r="I375" s="56"/>
      <c r="J375" s="56"/>
      <c r="K375" s="56"/>
      <c r="L375" s="56"/>
      <c r="M375" s="56"/>
      <c r="N375" s="56"/>
      <c r="O375" s="56"/>
    </row>
    <row r="376" spans="1:16">
      <c r="D376" s="60"/>
      <c r="E376" s="63"/>
      <c r="F376" s="16"/>
      <c r="G376" s="16"/>
      <c r="H376" s="16"/>
      <c r="I376" s="16"/>
      <c r="J376" s="16"/>
      <c r="K376" s="16"/>
      <c r="L376" s="16"/>
      <c r="M376" s="16"/>
      <c r="N376" s="16"/>
      <c r="O376" s="16"/>
    </row>
    <row r="377" spans="1:16" ht="18">
      <c r="D377" s="66" t="s">
        <v>229</v>
      </c>
      <c r="E377" s="63"/>
      <c r="F377" s="16"/>
      <c r="G377" s="16"/>
      <c r="H377" s="16"/>
      <c r="I377" s="16"/>
      <c r="J377" s="16"/>
      <c r="K377" s="16"/>
      <c r="L377" s="16"/>
      <c r="M377" s="16"/>
      <c r="N377" s="16"/>
      <c r="O377" s="16"/>
    </row>
    <row r="379" spans="1:16">
      <c r="A379" s="89" t="s">
        <v>105</v>
      </c>
      <c r="D379" s="20" t="s">
        <v>30</v>
      </c>
      <c r="E379" s="20"/>
      <c r="P379" s="3"/>
    </row>
    <row r="380" spans="1:16">
      <c r="B380" s="69"/>
      <c r="D380" s="20"/>
      <c r="E380" s="21"/>
      <c r="F380" s="15" t="str">
        <f t="shared" ref="F380:O380" si="57">F$35</f>
        <v>2021</v>
      </c>
      <c r="G380" s="15" t="str">
        <f t="shared" si="57"/>
        <v>2022</v>
      </c>
      <c r="H380" s="15" t="str">
        <f t="shared" si="57"/>
        <v>2023</v>
      </c>
      <c r="I380" s="15" t="str">
        <f t="shared" si="57"/>
        <v>2024</v>
      </c>
      <c r="J380" s="15" t="str">
        <f t="shared" si="57"/>
        <v>2025</v>
      </c>
      <c r="K380" s="15" t="str">
        <f t="shared" si="57"/>
        <v>2026</v>
      </c>
      <c r="L380" s="15" t="str">
        <f t="shared" si="57"/>
        <v>2027</v>
      </c>
      <c r="M380" s="15" t="str">
        <f t="shared" si="57"/>
        <v>2028</v>
      </c>
      <c r="N380" s="15" t="str">
        <f t="shared" si="57"/>
        <v>2029</v>
      </c>
      <c r="O380" s="15" t="str">
        <f t="shared" si="57"/>
        <v>2030</v>
      </c>
    </row>
    <row r="381" spans="1:16">
      <c r="D381" s="63" t="s">
        <v>60</v>
      </c>
      <c r="E381" s="26"/>
      <c r="F381" s="44" t="s">
        <v>0</v>
      </c>
      <c r="G381" s="44" t="s">
        <v>0</v>
      </c>
      <c r="H381" s="44" t="s">
        <v>0</v>
      </c>
      <c r="I381" s="44" t="s">
        <v>0</v>
      </c>
      <c r="J381" s="48" t="str">
        <f>$J$54</f>
        <v>Actual</v>
      </c>
      <c r="K381" s="44" t="s">
        <v>1</v>
      </c>
      <c r="L381" s="44" t="s">
        <v>1</v>
      </c>
      <c r="M381" s="44" t="s">
        <v>1</v>
      </c>
      <c r="N381" s="44" t="s">
        <v>1</v>
      </c>
      <c r="O381" s="44" t="s">
        <v>1</v>
      </c>
      <c r="P381" s="82"/>
    </row>
    <row r="382" spans="1:16">
      <c r="C382" s="69"/>
      <c r="N382" s="10"/>
      <c r="O382" s="10"/>
      <c r="P382" s="4"/>
    </row>
    <row r="383" spans="1:16">
      <c r="D383" s="10" t="s">
        <v>84</v>
      </c>
      <c r="F383" s="13">
        <v>1846</v>
      </c>
      <c r="G383" s="13">
        <v>2796</v>
      </c>
      <c r="H383" s="13">
        <v>6154</v>
      </c>
      <c r="I383" s="13">
        <v>8329</v>
      </c>
      <c r="J383" s="13">
        <v>8291</v>
      </c>
      <c r="K383" s="13">
        <v>8687</v>
      </c>
      <c r="L383" s="13">
        <v>9841</v>
      </c>
      <c r="M383" s="13">
        <v>11164</v>
      </c>
      <c r="N383" s="13">
        <v>12337</v>
      </c>
      <c r="O383" s="13">
        <v>13465</v>
      </c>
      <c r="P383" s="4"/>
    </row>
    <row r="384" spans="1:16">
      <c r="D384" s="10" t="s">
        <v>85</v>
      </c>
      <c r="F384" s="13">
        <v>72</v>
      </c>
      <c r="G384" s="13">
        <v>88</v>
      </c>
      <c r="H384" s="13">
        <v>415</v>
      </c>
      <c r="I384" s="13">
        <v>614</v>
      </c>
      <c r="J384" s="13">
        <v>571</v>
      </c>
      <c r="K384" s="13">
        <v>374</v>
      </c>
      <c r="L384" s="13">
        <v>355</v>
      </c>
      <c r="M384" s="13">
        <v>408</v>
      </c>
      <c r="N384" s="13">
        <v>440</v>
      </c>
      <c r="O384" s="13">
        <v>445</v>
      </c>
      <c r="P384" s="4"/>
    </row>
    <row r="385" spans="1:16" ht="16.5" thickBot="1">
      <c r="F385" s="45"/>
      <c r="G385" s="45"/>
      <c r="H385" s="45"/>
      <c r="I385" s="45"/>
      <c r="J385" s="45"/>
      <c r="K385" s="45"/>
      <c r="L385" s="45"/>
      <c r="M385" s="45"/>
      <c r="N385" s="45"/>
      <c r="O385" s="45"/>
    </row>
    <row r="386" spans="1:16" s="83" customFormat="1" ht="18" customHeight="1" thickBot="1">
      <c r="A386" s="89"/>
      <c r="B386" s="88"/>
      <c r="C386" s="88"/>
      <c r="D386" s="101" t="s">
        <v>83</v>
      </c>
      <c r="E386" s="101"/>
      <c r="F386" s="86">
        <f t="shared" ref="F386:O386" si="58">SUM(F383:F385)</f>
        <v>1918</v>
      </c>
      <c r="G386" s="86">
        <f t="shared" si="58"/>
        <v>2884</v>
      </c>
      <c r="H386" s="86">
        <f t="shared" si="58"/>
        <v>6569</v>
      </c>
      <c r="I386" s="86">
        <f t="shared" si="58"/>
        <v>8943</v>
      </c>
      <c r="J386" s="86">
        <f t="shared" si="58"/>
        <v>8862</v>
      </c>
      <c r="K386" s="86">
        <f t="shared" si="58"/>
        <v>9061</v>
      </c>
      <c r="L386" s="86">
        <f t="shared" si="58"/>
        <v>10196</v>
      </c>
      <c r="M386" s="86">
        <f t="shared" si="58"/>
        <v>11572</v>
      </c>
      <c r="N386" s="86">
        <f t="shared" ref="N386" si="59">SUM(N383:N385)</f>
        <v>12777</v>
      </c>
      <c r="O386" s="86">
        <f t="shared" si="58"/>
        <v>13910</v>
      </c>
      <c r="P386" s="9"/>
    </row>
    <row r="387" spans="1:16">
      <c r="E387" s="25"/>
      <c r="F387" s="25"/>
      <c r="G387" s="25"/>
      <c r="H387" s="25"/>
      <c r="I387" s="25"/>
      <c r="J387" s="25"/>
      <c r="K387" s="46"/>
      <c r="L387" s="46"/>
      <c r="M387" s="46"/>
      <c r="N387" s="46"/>
      <c r="O387" s="46"/>
      <c r="P387" s="46"/>
    </row>
    <row r="388" spans="1:16" ht="18">
      <c r="D388" s="66" t="s">
        <v>229</v>
      </c>
      <c r="E388" s="63"/>
      <c r="F388" s="16"/>
      <c r="G388" s="16"/>
      <c r="H388" s="16"/>
      <c r="I388" s="16"/>
      <c r="J388" s="16"/>
      <c r="K388" s="16"/>
      <c r="L388" s="16"/>
      <c r="M388" s="16"/>
      <c r="N388" s="16"/>
      <c r="O388" s="16"/>
    </row>
  </sheetData>
  <dataConsolidate>
    <dataRefs count="1">
      <dataRef ref="T7:U12" sheet="Step 2) Detailed tables" r:id="rId1"/>
    </dataRefs>
  </dataConsolidate>
  <mergeCells count="18">
    <mergeCell ref="D355:E355"/>
    <mergeCell ref="D373:E373"/>
    <mergeCell ref="D386:E386"/>
    <mergeCell ref="D269:E269"/>
    <mergeCell ref="D291:E291"/>
    <mergeCell ref="D307:E307"/>
    <mergeCell ref="D321:E321"/>
    <mergeCell ref="D335:E335"/>
    <mergeCell ref="D167:E167"/>
    <mergeCell ref="D193:E193"/>
    <mergeCell ref="D226:E226"/>
    <mergeCell ref="D248:E248"/>
    <mergeCell ref="D243:E243"/>
    <mergeCell ref="D30:O30"/>
    <mergeCell ref="D45:E45"/>
    <mergeCell ref="D79:E79"/>
    <mergeCell ref="D114:E114"/>
    <mergeCell ref="D136:E136"/>
  </mergeCells>
  <phoneticPr fontId="69" type="noConversion"/>
  <printOptions gridLines="1" gridLinesSet="0"/>
  <pageMargins left="0.35433070866141736" right="0.35433070866141736" top="0.98425196850393704" bottom="0.98425196850393704" header="0.51181102362204722" footer="0.51181102362204722"/>
  <pageSetup paperSize="8" scale="84" orientation="landscape" cellComments="asDisplayed" r:id="rId2"/>
  <headerFooter alignWithMargins="0">
    <oddHeader>&amp;C&amp;A</oddHeader>
    <oddFooter>&amp;L&amp;"Arial,Regular"&amp;8&amp;Z&amp;F&amp;R&amp;"Arial,Regular"&amp;8&amp;D
&amp;T</oddFooter>
  </headerFooter>
  <rowBreaks count="6" manualBreakCount="6">
    <brk id="50" min="2" max="15" man="1"/>
    <brk id="183" min="2" max="15" man="1"/>
    <brk id="210" min="2" max="15" man="1"/>
    <brk id="253" min="2" max="15" man="1"/>
    <brk id="298" min="2" max="15" man="1"/>
    <brk id="340" min="2" max="15" man="1"/>
  </rowBreaks>
  <ignoredErrors>
    <ignoredError sqref="F5:M5 N5:O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Index</vt:lpstr>
      <vt:lpstr>Core Crown Expense Tables</vt:lpstr>
      <vt:lpstr>'Core Crown Expense Tables'!Print_Area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 Core Crown Expense Tables - Budget Economic and Fiscal Update 2026</dc:title>
  <dc:creator/>
  <cp:lastModifiedBy/>
  <dcterms:created xsi:type="dcterms:W3CDTF">2026-05-18T01:03:14Z</dcterms:created>
  <dcterms:modified xsi:type="dcterms:W3CDTF">2026-05-26T01:23:57Z</dcterms:modified>
</cp:coreProperties>
</file>